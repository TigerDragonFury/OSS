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3"/>
  </bookViews>
  <sheets>
    <sheet name=" November" sheetId="23" r:id="rId1"/>
    <sheet name=" December" sheetId="25" r:id="rId2"/>
    <sheet name=" January" sheetId="26" r:id="rId3"/>
    <sheet name=" February" sheetId="27" r:id="rId4"/>
    <sheet name=" Yusef" sheetId="28" r:id="rId5"/>
    <sheet name=" Akram" sheetId="29" r:id="rId6"/>
  </sheets>
  <calcPr calcId="144525"/>
</workbook>
</file>

<file path=xl/calcChain.xml><?xml version="1.0" encoding="utf-8"?>
<calcChain xmlns="http://schemas.openxmlformats.org/spreadsheetml/2006/main">
  <c r="G36" i="29" l="1"/>
  <c r="H36" i="29" s="1"/>
  <c r="F36" i="29"/>
  <c r="J36" i="28"/>
  <c r="K36" i="28" s="1"/>
  <c r="I36" i="28"/>
  <c r="H36" i="28"/>
  <c r="G36" i="28"/>
  <c r="J123" i="27" l="1"/>
  <c r="I123" i="27"/>
  <c r="J175" i="26"/>
  <c r="I175" i="26"/>
  <c r="J171" i="25"/>
  <c r="I171" i="25"/>
  <c r="J190" i="23"/>
  <c r="I190" i="23"/>
</calcChain>
</file>

<file path=xl/sharedStrings.xml><?xml version="1.0" encoding="utf-8"?>
<sst xmlns="http://schemas.openxmlformats.org/spreadsheetml/2006/main" count="2249" uniqueCount="320">
  <si>
    <t>The fund</t>
  </si>
  <si>
    <t> Abu Abdullah</t>
  </si>
  <si>
    <t> the date</t>
  </si>
  <si>
    <t> Statement</t>
  </si>
  <si>
    <t> comments</t>
  </si>
  <si>
    <t> deposit</t>
  </si>
  <si>
    <t> exchange</t>
  </si>
  <si>
    <t> The list</t>
  </si>
  <si>
    <t xml:space="preserve"> lunch</t>
  </si>
  <si>
    <t> dinner</t>
  </si>
  <si>
    <t> Items for Abdul Shakur</t>
  </si>
  <si>
    <t xml:space="preserve"> fuel</t>
  </si>
  <si>
    <t> For Beckham</t>
  </si>
  <si>
    <t> Accent</t>
  </si>
  <si>
    <t xml:space="preserve"> waters</t>
  </si>
  <si>
    <t> cutter blades</t>
  </si>
  <si>
    <t> Forklift</t>
  </si>
  <si>
    <t> Hotel and transportation for Tariq</t>
  </si>
  <si>
    <t> Tareq</t>
  </si>
  <si>
    <t> Indian reformer</t>
  </si>
  <si>
    <t> Water pump for bathrooms</t>
  </si>
  <si>
    <t> Kitchen needs</t>
  </si>
  <si>
    <t xml:space="preserve"> dinner</t>
  </si>
  <si>
    <t xml:space="preserve"> Accessories for water pump</t>
  </si>
  <si>
    <t> Fadl and the Chinese</t>
  </si>
  <si>
    <t> silicone</t>
  </si>
  <si>
    <t> cardboard cups</t>
  </si>
  <si>
    <t> Water for the cooler</t>
  </si>
  <si>
    <t> Automatic pump</t>
  </si>
  <si>
    <t> Lunch from 15-10 to 31-10 for Tariq</t>
  </si>
  <si>
    <t> lunch for Tariq</t>
  </si>
  <si>
    <t xml:space="preserve"> Tareq</t>
  </si>
  <si>
    <t> Formal</t>
  </si>
  <si>
    <t> Hotel and transportation for Tariq for the rest of October</t>
  </si>
  <si>
    <t> Hand gloves</t>
  </si>
  <si>
    <t> Abu Sand</t>
  </si>
  <si>
    <t> coffee</t>
  </si>
  <si>
    <t> Bathroom cleaner</t>
  </si>
  <si>
    <t> egg</t>
  </si>
  <si>
    <t>Bathroom faucet accessories</t>
  </si>
  <si>
    <t> waters</t>
  </si>
  <si>
    <t> gas</t>
  </si>
  <si>
    <t> lunch</t>
  </si>
  <si>
    <t> Mehdi</t>
  </si>
  <si>
    <t> Generator battery</t>
  </si>
  <si>
    <t> Filters and oil for the generator</t>
  </si>
  <si>
    <t> Generator repair</t>
  </si>
  <si>
    <t> Sewing bathroom curtains</t>
  </si>
  <si>
    <t> Gasoline valve</t>
  </si>
  <si>
    <t xml:space="preserve"> Bread and cardboard cups</t>
  </si>
  <si>
    <t xml:space="preserve"> Bathroom base and two silicone containers</t>
  </si>
  <si>
    <t xml:space="preserve"> Gloves</t>
  </si>
  <si>
    <t> Lunch for Tariq for four days</t>
  </si>
  <si>
    <t> Geizer</t>
  </si>
  <si>
    <t> sugar</t>
  </si>
  <si>
    <t> Dishwashing sponges and kitchen cleaning wipes</t>
  </si>
  <si>
    <t> Cola</t>
  </si>
  <si>
    <t> Bread and lemon</t>
  </si>
  <si>
    <t> Toilet seat diversion</t>
  </si>
  <si>
    <t> Abdul Razzaq</t>
  </si>
  <si>
    <t> Health materials for water tanks</t>
  </si>
  <si>
    <t xml:space="preserve"> Sugar and tea</t>
  </si>
  <si>
    <t> Gas cylinder clock</t>
  </si>
  <si>
    <t> water tank</t>
  </si>
  <si>
    <t xml:space="preserve"> 4 small gas canisters</t>
  </si>
  <si>
    <t> Water and kitchen maintenance equipment</t>
  </si>
  <si>
    <t> Loading the bulldozer</t>
  </si>
  <si>
    <t> Gloves and ribbons</t>
  </si>
  <si>
    <t xml:space="preserve"> cardboard cups</t>
  </si>
  <si>
    <t> Gloves</t>
  </si>
  <si>
    <t> bread</t>
  </si>
  <si>
    <t xml:space="preserve"> Forklift</t>
  </si>
  <si>
    <t>external</t>
  </si>
  <si>
    <t> Two external contacts via Abu Abdullah</t>
  </si>
  <si>
    <t> tea</t>
  </si>
  <si>
    <t> Bathroom base screws</t>
  </si>
  <si>
    <t> Rental of trucks for transporting couscous</t>
  </si>
  <si>
    <t> Six trailers belonging to Mohammed Hussein</t>
  </si>
  <si>
    <t> Nine trailers for Protocol Foundation</t>
  </si>
  <si>
    <t> 23 trailers for Protocol Foundation</t>
  </si>
  <si>
    <t> Spending 100 dirhams on sanitation</t>
  </si>
  <si>
    <t> fuel</t>
  </si>
  <si>
    <t> dishwashing liquid</t>
  </si>
  <si>
    <t> Pipe for car wash</t>
  </si>
  <si>
    <t> Items for Shakur</t>
  </si>
  <si>
    <t> Gulfs</t>
  </si>
  <si>
    <t> Water hose</t>
  </si>
  <si>
    <t> Brake oil</t>
  </si>
  <si>
    <t> David</t>
  </si>
  <si>
    <t> Fadl</t>
  </si>
  <si>
    <t> a wage</t>
  </si>
  <si>
    <t> Thank you</t>
  </si>
  <si>
    <t> Murad</t>
  </si>
  <si>
    <t> Laundry rental</t>
  </si>
  <si>
    <t> Abdul Razzaq</t>
  </si>
  <si>
    <t> two days</t>
  </si>
  <si>
    <t> Abu Abdullah</t>
  </si>
  <si>
    <t> Medicine for Ahmed Al-Saidi</t>
  </si>
  <si>
    <t> Trailer</t>
  </si>
  <si>
    <t> Repairing a front wheel on a trailer</t>
  </si>
  <si>
    <t> Installing used wheels on a trailer</t>
  </si>
  <si>
    <t> forklift driver</t>
  </si>
  <si>
    <t> Water tank supplies</t>
  </si>
  <si>
    <t> Truck repair</t>
  </si>
  <si>
    <t>sink</t>
  </si>
  <si>
    <t> kitchen tools</t>
  </si>
  <si>
    <t> Crane</t>
  </si>
  <si>
    <t> Shakur Group</t>
  </si>
  <si>
    <t xml:space="preserve"> Received from Shakur by the Chinese</t>
  </si>
  <si>
    <t xml:space="preserve"> Shakur's team who loaded the heavy equipment</t>
  </si>
  <si>
    <t> Glender rental and repair</t>
  </si>
  <si>
    <t> Glender trays for cutting iron</t>
  </si>
  <si>
    <t> drops</t>
  </si>
  <si>
    <t> Truck tire repair</t>
  </si>
  <si>
    <t> Slip</t>
  </si>
  <si>
    <t> Expenses for moving a friend (taxis, dinner, and forklifts)</t>
  </si>
  <si>
    <t> Truck scale</t>
  </si>
  <si>
    <t> His predecessor was a generous man</t>
  </si>
  <si>
    <t> Scale for five trucks</t>
  </si>
  <si>
    <t> excavator</t>
  </si>
  <si>
    <t> Work in 3 days for 3450 and delivery by lowboy for 500</t>
  </si>
  <si>
    <t> Number 3 for Saddam</t>
  </si>
  <si>
    <t> Two people with overnight stay for Ahmed</t>
  </si>
  <si>
    <t> Fadl and his group</t>
  </si>
  <si>
    <t> lock number 3</t>
  </si>
  <si>
    <t> Download Scrub 3 days with Poploader (Akram)</t>
  </si>
  <si>
    <t> Office commitments</t>
  </si>
  <si>
    <t> Wages of two workers for cutting iron</t>
  </si>
  <si>
    <t> Zhalak</t>
  </si>
  <si>
    <t> Dawood (500 old, 200 scrap downloads, 200 tractor downloads)</t>
  </si>
  <si>
    <t>The company has two forms for downloading scrap metal.</t>
  </si>
  <si>
    <t> Pickup</t>
  </si>
  <si>
    <t> Oxygen cylinders</t>
  </si>
  <si>
    <t xml:space="preserve"> Oxygen cylinders</t>
  </si>
  <si>
    <t> Number 5</t>
  </si>
  <si>
    <t> Number 12</t>
  </si>
  <si>
    <t> Truck scale</t>
  </si>
  <si>
    <t> Number 20</t>
  </si>
  <si>
    <t> Two cylinders</t>
  </si>
  <si>
    <t> For the cooler</t>
  </si>
  <si>
    <t> breakfast</t>
  </si>
  <si>
    <t> Number 7</t>
  </si>
  <si>
    <t> Number 6</t>
  </si>
  <si>
    <t xml:space="preserve"> Number 15</t>
  </si>
  <si>
    <t> Youssef of the storyteller and his workers</t>
  </si>
  <si>
    <t> 20 jobs for the following day (Monday) plus delivery</t>
  </si>
  <si>
    <t> Office needs</t>
  </si>
  <si>
    <t> New CD</t>
  </si>
  <si>
    <t xml:space="preserve"> Number 20</t>
  </si>
  <si>
    <t> cylinder</t>
  </si>
  <si>
    <t> Pakistani workers</t>
  </si>
  <si>
    <t> Sugar, tea, coffee, tissues</t>
  </si>
  <si>
    <t> Wages of 4 Pakistani workers</t>
  </si>
  <si>
    <t> Medicines for Mahmoud</t>
  </si>
  <si>
    <t> As a result of injury</t>
  </si>
  <si>
    <t> Additional hours</t>
  </si>
  <si>
    <t> Trilltain scale</t>
  </si>
  <si>
    <t> Wages of workers</t>
  </si>
  <si>
    <t> Food purchases for the start of the company's lunch shift</t>
  </si>
  <si>
    <t> Boom Loader</t>
  </si>
  <si>
    <t> oxygen</t>
  </si>
  <si>
    <t> balance</t>
  </si>
  <si>
    <t>Filling two cylinders</t>
  </si>
  <si>
    <t> With delay</t>
  </si>
  <si>
    <t> Two cars</t>
  </si>
  <si>
    <t> For the youth</t>
  </si>
  <si>
    <t> car</t>
  </si>
  <si>
    <t> Oxygen 30 cylinders</t>
  </si>
  <si>
    <t> gas cylinder</t>
  </si>
  <si>
    <t> Filling</t>
  </si>
  <si>
    <t xml:space="preserve"> Continued from the office's commitments</t>
  </si>
  <si>
    <t> Bread for the young people's dinner and cucumber</t>
  </si>
  <si>
    <t> Supplementing the company's lunch needs</t>
  </si>
  <si>
    <t> Rice (10 kg), peppers, lemons, onions, tomatoes, insecticide, plates, cups</t>
  </si>
  <si>
    <t> Change on Mahmoud's wound</t>
  </si>
  <si>
    <t> Two-ton scale</t>
  </si>
  <si>
    <t> Bread, cucumber, eggs, coffee</t>
  </si>
  <si>
    <t> The same truck was weighed twice</t>
  </si>
  <si>
    <t> Bread, cucumber, tomato</t>
  </si>
  <si>
    <t> Boom loader delay replacement</t>
  </si>
  <si>
    <t> Oxygen 20 cylinders</t>
  </si>
  <si>
    <t> Cucumber and tomato bread</t>
  </si>
  <si>
    <t> Two-cylinder gas</t>
  </si>
  <si>
    <t> Lunch for Pakistanis</t>
  </si>
  <si>
    <t> Dinner from outside, courtesy of Abu Yusuf</t>
  </si>
  <si>
    <t> For Pakistanis</t>
  </si>
  <si>
    <t>Water for the cooler - Water for the office - Cups - Tissues - Coffee</t>
  </si>
  <si>
    <t> Oil for Marwan's car</t>
  </si>
  <si>
    <t> Warranty for oxygen cylinders</t>
  </si>
  <si>
    <t> treatment</t>
  </si>
  <si>
    <t> Takeout dinner</t>
  </si>
  <si>
    <t> Abu Yusuf</t>
  </si>
  <si>
    <t> Company</t>
  </si>
  <si>
    <t> Sugar - Cups</t>
  </si>
  <si>
    <t> Hamid</t>
  </si>
  <si>
    <t> Pakistani workers' wages</t>
  </si>
  <si>
    <t> Gas cylinder, quantity 4</t>
  </si>
  <si>
    <t> Oil - Molokhia - Bread - Eggs - Pasta - Cucumber</t>
  </si>
  <si>
    <t> Gas cylinder, number 1</t>
  </si>
  <si>
    <t> Gas cylinder, quantity 2</t>
  </si>
  <si>
    <t> Kohler</t>
  </si>
  <si>
    <t> Diesel for crane</t>
  </si>
  <si>
    <t> Glen 100</t>
  </si>
  <si>
    <t> Gas cylinder, quantity 3</t>
  </si>
  <si>
    <t> 50 oxygen cylinders</t>
  </si>
  <si>
    <t> Oxygen, quantity 40</t>
  </si>
  <si>
    <t> Forklift Abdul Razzaq</t>
  </si>
  <si>
    <t> Oxygen quantity 44</t>
  </si>
  <si>
    <t> trailer</t>
  </si>
  <si>
    <t> Taxi and lock</t>
  </si>
  <si>
    <t> Outdoor dinner</t>
  </si>
  <si>
    <t> Due to work delays</t>
  </si>
  <si>
    <t> Rent a scrap metal transport truck from Shibo to the company</t>
  </si>
  <si>
    <t> Recovery</t>
  </si>
  <si>
    <t>Loading the excavator at Shibu 250 and transporting it from Shibu to the company 250</t>
  </si>
  <si>
    <t> Late fee for the loader driver for loading Noor</t>
  </si>
  <si>
    <t> Oxygen quantity 48</t>
  </si>
  <si>
    <t> Lock number 10 for Murad</t>
  </si>
  <si>
    <t xml:space="preserve"> balance</t>
  </si>
  <si>
    <t> Boom loader driver instead of a two-hour delay</t>
  </si>
  <si>
    <t> Pakistani worker's wage</t>
  </si>
  <si>
    <t> Two invoices, one for the company and the other for IMCC.</t>
  </si>
  <si>
    <t> Recovery</t>
  </si>
  <si>
    <t> Number 30</t>
  </si>
  <si>
    <t> Number 15</t>
  </si>
  <si>
    <t> Ahmed - Mahmoud - Abu Zaid - Abu Taha</t>
  </si>
  <si>
    <t> Compensation for delay of 6 hours for the boom loader driver within two days</t>
  </si>
  <si>
    <t xml:space="preserve"> Boot cleaning materials</t>
  </si>
  <si>
    <t> Trailer maintenance</t>
  </si>
  <si>
    <t> malfunction</t>
  </si>
  <si>
    <t> Lunch ingredients needs</t>
  </si>
  <si>
    <t> Accent car floor mats</t>
  </si>
  <si>
    <t> Loading (bulldozer and equipment) from ICAD</t>
  </si>
  <si>
    <t> Truck rental</t>
  </si>
  <si>
    <t> Transfer of (bulldozer and equipment) from ICAD to the company</t>
  </si>
  <si>
    <t>Unloading (bulldozer and equipment) at the company</t>
  </si>
  <si>
    <t> honor</t>
  </si>
  <si>
    <t> Cleaning supplies for boots and office</t>
  </si>
  <si>
    <t> Pakistanis</t>
  </si>
  <si>
    <t> Column 1</t>
  </si>
  <si>
    <t> Description</t>
  </si>
  <si>
    <t> maintenance</t>
  </si>
  <si>
    <t> Company needs</t>
  </si>
  <si>
    <t> maintenance</t>
  </si>
  <si>
    <t> Company needs</t>
  </si>
  <si>
    <t xml:space="preserve"> Glender</t>
  </si>
  <si>
    <t> Fuel for Accent</t>
  </si>
  <si>
    <t> Fuel for pickup trucks</t>
  </si>
  <si>
    <t> Fuel for the truck</t>
  </si>
  <si>
    <t> brick</t>
  </si>
  <si>
    <t> kitchen</t>
  </si>
  <si>
    <t> Fare and transportation</t>
  </si>
  <si>
    <t xml:space="preserve"> Fare and transportation</t>
  </si>
  <si>
    <t> Fadl and the Chinese four days from 3-11 to 6-11</t>
  </si>
  <si>
    <t> My mornings are four days long, from 1-11 to 4-11.</t>
  </si>
  <si>
    <t> My mornings on 5-11 and 6-11</t>
  </si>
  <si>
    <t> Bathroom supplies for maintenance</t>
  </si>
  <si>
    <t> Bathroom cleaners</t>
  </si>
  <si>
    <t> Part of the November salary</t>
  </si>
  <si>
    <t> Fadl and the Chinese from 8-11 to 13-11</t>
  </si>
  <si>
    <t> Fadl and the Chinese from 15-11 to 20-11</t>
  </si>
  <si>
    <t> My mornings on 8-11 and 9-11</t>
  </si>
  <si>
    <t> My mornings are on 10-11 and 11-11.</t>
  </si>
  <si>
    <t> For the trailer</t>
  </si>
  <si>
    <t>Fadl and the Chinese 22-11 to 27-11</t>
  </si>
  <si>
    <t xml:space="preserve"> Fare without transportation</t>
  </si>
  <si>
    <t> Lunch allowance for the remainder of October</t>
  </si>
  <si>
    <t> His advance to a worker</t>
  </si>
  <si>
    <t> Morning shift from 3-12 to 5-12</t>
  </si>
  <si>
    <t> Ahmed Mahmoud Abu Taha Abu Zeid</t>
  </si>
  <si>
    <t> Noor Pakistani 7 workers for eight days</t>
  </si>
  <si>
    <t> A payment from his salary</t>
  </si>
  <si>
    <t xml:space="preserve"> scrap metal transport rental</t>
  </si>
  <si>
    <t> Complete his full salary</t>
  </si>
  <si>
    <t xml:space="preserve"> lock number 3</t>
  </si>
  <si>
    <t> Mehdi from 25-10 to 30-11</t>
  </si>
  <si>
    <t> Morning 12-13-15-16 \11</t>
  </si>
  <si>
    <t> Morning hours from 17-11 to 20-11</t>
  </si>
  <si>
    <t> October</t>
  </si>
  <si>
    <t> Has it been calculated?</t>
  </si>
  <si>
    <t> Truck rental from Shibo</t>
  </si>
  <si>
    <t> Ahmed Mahmoud Abu Taha Abu Zaid Abu Abdullah</t>
  </si>
  <si>
    <t> Hamid's wage</t>
  </si>
  <si>
    <t> Abdul Shakur and Murad</t>
  </si>
  <si>
    <t> Wages for 5 Pakistani workers</t>
  </si>
  <si>
    <t xml:space="preserve"> Oxygen clock</t>
  </si>
  <si>
    <t> The remaining number of trucks from Shibo</t>
  </si>
  <si>
    <t> Number 10</t>
  </si>
  <si>
    <t>Food supplies for preparing lunch at the company</t>
  </si>
  <si>
    <t> batch</t>
  </si>
  <si>
    <t xml:space="preserve"> Iron cutting workers' wages</t>
  </si>
  <si>
    <t> Yusef</t>
  </si>
  <si>
    <t> Iron cutting workers' wages</t>
  </si>
  <si>
    <t> About a worker</t>
  </si>
  <si>
    <t> About two workers</t>
  </si>
  <si>
    <t> Akram</t>
  </si>
  <si>
    <t xml:space="preserve"> Akram</t>
  </si>
  <si>
    <t> Boom loader and forklift</t>
  </si>
  <si>
    <t> The trailer's kitchen door malfunctioned during loading.</t>
  </si>
  <si>
    <t> today</t>
  </si>
  <si>
    <t> The number of days of Joseph</t>
  </si>
  <si>
    <t> Additional allowance</t>
  </si>
  <si>
    <t> Yusuf's Transportation</t>
  </si>
  <si>
    <t> Joseph's breakfast</t>
  </si>
  <si>
    <t> Friday</t>
  </si>
  <si>
    <t> Saturday</t>
  </si>
  <si>
    <t> Sunday</t>
  </si>
  <si>
    <t> Monday</t>
  </si>
  <si>
    <t> Tuesday</t>
  </si>
  <si>
    <t> Wednesday</t>
  </si>
  <si>
    <t> Thursday</t>
  </si>
  <si>
    <t> Company 2 with delay</t>
  </si>
  <si>
    <t> Company 3 with delay</t>
  </si>
  <si>
    <t> Forklift and Recovery</t>
  </si>
  <si>
    <t> Fare</t>
  </si>
  <si>
    <t> November salary</t>
  </si>
  <si>
    <t> December salary</t>
  </si>
  <si>
    <t> January salary</t>
  </si>
  <si>
    <t> Salary for the days worked in January</t>
  </si>
  <si>
    <t> Abdul Shakur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</si>
</sst>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u/>
      <sz val="14"/>
      <color theme="1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79" fillId="0" borderId="0"/>
    <xf numFmtId="0" fontId="81" fillId="0" borderId="0" applyNumberFormat="0" applyFill="0" applyBorder="0" applyAlignment="0" applyProtection="0"/>
    <xf numFmtId="0" fontId="78" fillId="0" borderId="0"/>
  </cellStyleXfs>
  <cellXfs count="167">
    <xf numFmtId="0" fontId="0" fillId="0" borderId="0" xfId="0"/>
    <xf numFmtId="0" fontId="79" fillId="0" borderId="0" xfId="1"/>
    <xf numFmtId="14" fontId="79" fillId="0" borderId="0" xfId="1" applyNumberFormat="1"/>
    <xf numFmtId="0" fontId="79" fillId="0" borderId="0" xfId="1" applyFont="1"/>
    <xf numFmtId="0" fontId="83" fillId="0" borderId="0" xfId="1" applyFont="1" applyFill="1"/>
    <xf numFmtId="0" fontId="0" fillId="0" borderId="0" xfId="1" applyFont="1" applyFill="1"/>
    <xf numFmtId="0" fontId="84" fillId="0" borderId="0" xfId="1" applyFont="1" applyFill="1"/>
    <xf numFmtId="14" fontId="84" fillId="0" borderId="0" xfId="0" applyNumberFormat="1" applyFont="1" applyFill="1" applyBorder="1" applyAlignment="1" applyProtection="1"/>
    <xf numFmtId="0" fontId="84" fillId="0" borderId="0" xfId="0" applyNumberFormat="1" applyFont="1" applyFill="1" applyBorder="1" applyAlignment="1" applyProtection="1"/>
    <xf numFmtId="0" fontId="84" fillId="0" borderId="0" xfId="1" applyFont="1"/>
    <xf numFmtId="0" fontId="77" fillId="0" borderId="0" xfId="1" applyFont="1"/>
    <xf numFmtId="0" fontId="76" fillId="0" borderId="0" xfId="1" applyFont="1"/>
    <xf numFmtId="0" fontId="75" fillId="0" borderId="0" xfId="1" applyFont="1"/>
    <xf numFmtId="0" fontId="74" fillId="0" borderId="0" xfId="1" applyFont="1"/>
    <xf numFmtId="0" fontId="73" fillId="0" borderId="0" xfId="1" applyFont="1"/>
    <xf numFmtId="0" fontId="72" fillId="0" borderId="0" xfId="1" applyFont="1"/>
    <xf numFmtId="0" fontId="71" fillId="0" borderId="0" xfId="1" applyFont="1"/>
    <xf numFmtId="0" fontId="70" fillId="0" borderId="0" xfId="1" applyFont="1"/>
    <xf numFmtId="0" fontId="69" fillId="0" borderId="0" xfId="1" applyFont="1"/>
    <xf numFmtId="0" fontId="68" fillId="0" borderId="0" xfId="1" applyFont="1"/>
    <xf numFmtId="0" fontId="67" fillId="0" borderId="0" xfId="1" applyFont="1"/>
    <xf numFmtId="0" fontId="66" fillId="0" borderId="0" xfId="1" applyFont="1"/>
    <xf numFmtId="0" fontId="65" fillId="0" borderId="0" xfId="1" applyFont="1"/>
    <xf numFmtId="0" fontId="64" fillId="0" borderId="0" xfId="1" applyFont="1"/>
    <xf numFmtId="0" fontId="63" fillId="0" borderId="0" xfId="1" applyFont="1"/>
    <xf numFmtId="0" fontId="62" fillId="0" borderId="0" xfId="1" applyFont="1"/>
    <xf numFmtId="0" fontId="61" fillId="0" borderId="0" xfId="1" applyFont="1"/>
    <xf numFmtId="0" fontId="60" fillId="0" borderId="0" xfId="1" applyFont="1"/>
    <xf numFmtId="0" fontId="59" fillId="0" borderId="0" xfId="1" applyFont="1"/>
    <xf numFmtId="0" fontId="58" fillId="0" borderId="0" xfId="1" applyFont="1"/>
    <xf numFmtId="0" fontId="57" fillId="0" borderId="0" xfId="1" applyFont="1"/>
    <xf numFmtId="0" fontId="56" fillId="0" borderId="0" xfId="1" applyFont="1"/>
    <xf numFmtId="0" fontId="55" fillId="0" borderId="0" xfId="1" applyFont="1"/>
    <xf numFmtId="0" fontId="54" fillId="0" borderId="0" xfId="1" applyFont="1"/>
    <xf numFmtId="0" fontId="53" fillId="0" borderId="0" xfId="1" applyFont="1"/>
    <xf numFmtId="0" fontId="52" fillId="0" borderId="0" xfId="1" applyFont="1"/>
    <xf numFmtId="0" fontId="51" fillId="0" borderId="0" xfId="1" applyFont="1"/>
    <xf numFmtId="0" fontId="50" fillId="0" borderId="0" xfId="1" applyFont="1"/>
    <xf numFmtId="0" fontId="49" fillId="0" borderId="0" xfId="1" applyFont="1"/>
    <xf numFmtId="0" fontId="48" fillId="0" borderId="0" xfId="1" applyFont="1"/>
    <xf numFmtId="0" fontId="47" fillId="0" borderId="0" xfId="1" applyFont="1"/>
    <xf numFmtId="0" fontId="46" fillId="0" borderId="0" xfId="1" applyFont="1"/>
    <xf numFmtId="0" fontId="45" fillId="0" borderId="0" xfId="1" applyFont="1"/>
    <xf numFmtId="0" fontId="44" fillId="0" borderId="0" xfId="1" applyFont="1"/>
    <xf numFmtId="0" fontId="43" fillId="0" borderId="0" xfId="1" applyFont="1"/>
    <xf numFmtId="0" fontId="42" fillId="0" borderId="0" xfId="1" applyFont="1"/>
    <xf numFmtId="0" fontId="41" fillId="0" borderId="0" xfId="1" applyFont="1"/>
    <xf numFmtId="0" fontId="40" fillId="0" borderId="0" xfId="1" applyFont="1"/>
    <xf numFmtId="0" fontId="39" fillId="0" borderId="0" xfId="1" applyFont="1"/>
    <xf numFmtId="0" fontId="38" fillId="0" borderId="0" xfId="1" applyFont="1"/>
    <xf numFmtId="0" fontId="37" fillId="0" borderId="0" xfId="1" applyFont="1"/>
    <xf numFmtId="0" fontId="36" fillId="0" borderId="0" xfId="1" applyFont="1"/>
    <xf numFmtId="0" fontId="35" fillId="0" borderId="0" xfId="1" applyFont="1"/>
    <xf numFmtId="0" fontId="34" fillId="0" borderId="0" xfId="1" applyFont="1"/>
    <xf numFmtId="0" fontId="33" fillId="0" borderId="0" xfId="1" applyFont="1"/>
    <xf numFmtId="0" fontId="32" fillId="0" borderId="0" xfId="1" applyFont="1"/>
    <xf numFmtId="0" fontId="31" fillId="0" borderId="0" xfId="1" applyFont="1"/>
    <xf numFmtId="0" fontId="30" fillId="0" borderId="0" xfId="1" applyFont="1"/>
    <xf numFmtId="0" fontId="29" fillId="0" borderId="0" xfId="1" applyFont="1"/>
    <xf numFmtId="0" fontId="28" fillId="0" borderId="0" xfId="1" applyFont="1"/>
    <xf numFmtId="0" fontId="27" fillId="0" borderId="0" xfId="1" applyFont="1"/>
    <xf numFmtId="0" fontId="26" fillId="0" borderId="0" xfId="1" applyFont="1"/>
    <xf numFmtId="0" fontId="25" fillId="5" borderId="1" xfId="0" applyNumberFormat="1" applyFont="1" applyFill="1" applyBorder="1" applyAlignment="1"/>
    <xf numFmtId="0" fontId="0" fillId="5" borderId="1" xfId="0" applyNumberFormat="1" applyFont="1" applyFill="1" applyBorder="1" applyAlignment="1"/>
    <xf numFmtId="0" fontId="25" fillId="4" borderId="1" xfId="0" applyNumberFormat="1" applyFont="1" applyFill="1" applyBorder="1" applyAlignment="1"/>
    <xf numFmtId="0" fontId="0" fillId="4" borderId="1" xfId="0" applyNumberFormat="1" applyFont="1" applyFill="1" applyBorder="1" applyAlignment="1"/>
    <xf numFmtId="0" fontId="24" fillId="0" borderId="0" xfId="1" applyFont="1"/>
    <xf numFmtId="0" fontId="23" fillId="5" borderId="1" xfId="0" applyNumberFormat="1" applyFont="1" applyFill="1" applyBorder="1" applyAlignment="1"/>
    <xf numFmtId="0" fontId="23" fillId="4" borderId="1" xfId="0" applyNumberFormat="1" applyFont="1" applyFill="1" applyBorder="1" applyAlignment="1"/>
    <xf numFmtId="0" fontId="23" fillId="0" borderId="0" xfId="1" applyFont="1"/>
    <xf numFmtId="0" fontId="22" fillId="0" borderId="0" xfId="1" applyFont="1"/>
    <xf numFmtId="0" fontId="21" fillId="5" borderId="1" xfId="0" applyNumberFormat="1" applyFont="1" applyFill="1" applyBorder="1" applyAlignment="1"/>
    <xf numFmtId="0" fontId="21" fillId="4" borderId="1" xfId="0" applyNumberFormat="1" applyFont="1" applyFill="1" applyBorder="1" applyAlignment="1"/>
    <xf numFmtId="0" fontId="20" fillId="5" borderId="1" xfId="0" applyNumberFormat="1" applyFont="1" applyFill="1" applyBorder="1" applyAlignment="1"/>
    <xf numFmtId="0" fontId="20" fillId="4" borderId="1" xfId="0" applyNumberFormat="1" applyFont="1" applyFill="1" applyBorder="1" applyAlignment="1"/>
    <xf numFmtId="0" fontId="20" fillId="0" borderId="0" xfId="1" applyFont="1"/>
    <xf numFmtId="0" fontId="19" fillId="4" borderId="1" xfId="0" applyNumberFormat="1" applyFont="1" applyFill="1" applyBorder="1" applyAlignment="1"/>
    <xf numFmtId="0" fontId="19" fillId="5" borderId="1" xfId="0" applyNumberFormat="1" applyFont="1" applyFill="1" applyBorder="1" applyAlignment="1"/>
    <xf numFmtId="0" fontId="19" fillId="0" borderId="0" xfId="1" applyFont="1"/>
    <xf numFmtId="0" fontId="18" fillId="5" borderId="1" xfId="0" applyNumberFormat="1" applyFont="1" applyFill="1" applyBorder="1" applyAlignment="1"/>
    <xf numFmtId="0" fontId="18" fillId="4" borderId="1" xfId="0" applyNumberFormat="1" applyFont="1" applyFill="1" applyBorder="1" applyAlignment="1"/>
    <xf numFmtId="0" fontId="17" fillId="5" borderId="1" xfId="0" applyNumberFormat="1" applyFont="1" applyFill="1" applyBorder="1" applyAlignment="1"/>
    <xf numFmtId="0" fontId="17" fillId="4" borderId="1" xfId="0" applyNumberFormat="1" applyFont="1" applyFill="1" applyBorder="1" applyAlignment="1"/>
    <xf numFmtId="0" fontId="17" fillId="0" borderId="0" xfId="1" applyFont="1"/>
    <xf numFmtId="0" fontId="16" fillId="5" borderId="1" xfId="0" applyNumberFormat="1" applyFont="1" applyFill="1" applyBorder="1" applyAlignment="1"/>
    <xf numFmtId="0" fontId="16" fillId="4" borderId="1" xfId="0" applyNumberFormat="1" applyFont="1" applyFill="1" applyBorder="1" applyAlignment="1"/>
    <xf numFmtId="0" fontId="16" fillId="0" borderId="0" xfId="1" applyFont="1"/>
    <xf numFmtId="0" fontId="15" fillId="5" borderId="1" xfId="0" applyNumberFormat="1" applyFont="1" applyFill="1" applyBorder="1" applyAlignment="1"/>
    <xf numFmtId="0" fontId="15" fillId="4" borderId="1" xfId="0" applyNumberFormat="1" applyFont="1" applyFill="1" applyBorder="1" applyAlignment="1"/>
    <xf numFmtId="0" fontId="15" fillId="0" borderId="0" xfId="1" applyFont="1"/>
    <xf numFmtId="0" fontId="14" fillId="4" borderId="1" xfId="0" applyNumberFormat="1" applyFont="1" applyFill="1" applyBorder="1" applyAlignment="1"/>
    <xf numFmtId="0" fontId="14" fillId="0" borderId="0" xfId="1" applyFont="1"/>
    <xf numFmtId="0" fontId="13" fillId="5" borderId="1" xfId="0" applyNumberFormat="1" applyFont="1" applyFill="1" applyBorder="1" applyAlignment="1"/>
    <xf numFmtId="0" fontId="13" fillId="4" borderId="1" xfId="0" applyNumberFormat="1" applyFont="1" applyFill="1" applyBorder="1" applyAlignment="1"/>
    <xf numFmtId="0" fontId="13" fillId="0" borderId="0" xfId="1" applyFont="1"/>
    <xf numFmtId="0" fontId="85" fillId="0" borderId="0" xfId="1" applyFont="1" applyFill="1"/>
    <xf numFmtId="0" fontId="0" fillId="0" borderId="0" xfId="1" applyFont="1"/>
    <xf numFmtId="0" fontId="86" fillId="0" borderId="0" xfId="1" applyFont="1"/>
    <xf numFmtId="0" fontId="12" fillId="0" borderId="0" xfId="1" applyFont="1"/>
    <xf numFmtId="0" fontId="82" fillId="3" borderId="0" xfId="2" applyFont="1" applyFill="1" applyAlignment="1">
      <alignment horizontal="center"/>
    </xf>
    <xf numFmtId="0" fontId="11" fillId="0" borderId="0" xfId="1" applyFont="1"/>
    <xf numFmtId="0" fontId="11" fillId="5" borderId="1" xfId="0" applyNumberFormat="1" applyFont="1" applyFill="1" applyBorder="1" applyAlignment="1"/>
    <xf numFmtId="0" fontId="11" fillId="4" borderId="1" xfId="0" applyNumberFormat="1" applyFont="1" applyFill="1" applyBorder="1" applyAlignment="1"/>
    <xf numFmtId="0" fontId="87" fillId="0" borderId="0" xfId="1" applyFont="1"/>
    <xf numFmtId="14" fontId="11" fillId="0" borderId="0" xfId="1" applyNumberFormat="1" applyFont="1"/>
    <xf numFmtId="0" fontId="34" fillId="0" borderId="0" xfId="1" applyFont="1" applyBorder="1"/>
    <xf numFmtId="0" fontId="24" fillId="0" borderId="0" xfId="1" applyFont="1" applyBorder="1"/>
    <xf numFmtId="0" fontId="26" fillId="0" borderId="0" xfId="1" applyFont="1" applyBorder="1"/>
    <xf numFmtId="0" fontId="14" fillId="0" borderId="0" xfId="1" applyFont="1" applyBorder="1"/>
    <xf numFmtId="0" fontId="33" fillId="0" borderId="0" xfId="1" applyFont="1" applyBorder="1"/>
    <xf numFmtId="0" fontId="30" fillId="0" borderId="0" xfId="1" applyFont="1" applyBorder="1"/>
    <xf numFmtId="0" fontId="29" fillId="0" borderId="0" xfId="1" applyFont="1" applyBorder="1"/>
    <xf numFmtId="0" fontId="11" fillId="0" borderId="0" xfId="1" applyFont="1" applyBorder="1"/>
    <xf numFmtId="0" fontId="35" fillId="0" borderId="0" xfId="1" applyFont="1" applyBorder="1"/>
    <xf numFmtId="0" fontId="31" fillId="0" borderId="0" xfId="1" applyFont="1" applyBorder="1"/>
    <xf numFmtId="0" fontId="28" fillId="0" borderId="0" xfId="1" applyFont="1" applyBorder="1"/>
    <xf numFmtId="0" fontId="27" fillId="0" borderId="0" xfId="1" applyFont="1" applyBorder="1"/>
    <xf numFmtId="0" fontId="23" fillId="0" borderId="0" xfId="1" applyFont="1" applyBorder="1"/>
    <xf numFmtId="0" fontId="79" fillId="0" borderId="0" xfId="1" applyFont="1" applyBorder="1"/>
    <xf numFmtId="0" fontId="84" fillId="0" borderId="0" xfId="1" applyFont="1" applyFill="1" applyBorder="1"/>
    <xf numFmtId="0" fontId="0" fillId="0" borderId="0" xfId="1" applyFont="1" applyFill="1" applyBorder="1"/>
    <xf numFmtId="0" fontId="58" fillId="0" borderId="0" xfId="1" applyFont="1" applyBorder="1"/>
    <xf numFmtId="0" fontId="60" fillId="0" borderId="0" xfId="1" applyFont="1" applyBorder="1"/>
    <xf numFmtId="0" fontId="39" fillId="0" borderId="0" xfId="1" applyFont="1" applyBorder="1"/>
    <xf numFmtId="0" fontId="54" fillId="0" borderId="0" xfId="1" applyFont="1" applyBorder="1"/>
    <xf numFmtId="0" fontId="84" fillId="0" borderId="0" xfId="1" applyFont="1" applyBorder="1"/>
    <xf numFmtId="0" fontId="83" fillId="0" borderId="0" xfId="1" applyFont="1" applyFill="1" applyBorder="1"/>
    <xf numFmtId="0" fontId="79" fillId="0" borderId="0" xfId="1" applyBorder="1"/>
    <xf numFmtId="0" fontId="10" fillId="0" borderId="0" xfId="1" applyFont="1"/>
    <xf numFmtId="0" fontId="10" fillId="0" borderId="0" xfId="1" applyFont="1" applyBorder="1"/>
    <xf numFmtId="0" fontId="18" fillId="0" borderId="0" xfId="1" applyFont="1" applyBorder="1"/>
    <xf numFmtId="0" fontId="0" fillId="0" borderId="0" xfId="1" applyFont="1" applyBorder="1"/>
    <xf numFmtId="0" fontId="9" fillId="0" borderId="0" xfId="1" applyFont="1"/>
    <xf numFmtId="0" fontId="8" fillId="0" borderId="0" xfId="1" applyFont="1"/>
    <xf numFmtId="0" fontId="8" fillId="5" borderId="1" xfId="0" applyNumberFormat="1" applyFont="1" applyFill="1" applyBorder="1" applyAlignment="1"/>
    <xf numFmtId="0" fontId="8" fillId="0" borderId="0" xfId="1" applyFont="1" applyBorder="1"/>
    <xf numFmtId="0" fontId="13" fillId="0" borderId="0" xfId="1" applyFont="1" applyBorder="1"/>
    <xf numFmtId="0" fontId="12" fillId="0" borderId="0" xfId="1" applyFont="1" applyBorder="1"/>
    <xf numFmtId="0" fontId="7" fillId="0" borderId="0" xfId="1" applyFont="1"/>
    <xf numFmtId="0" fontId="79" fillId="0" borderId="0" xfId="1" applyFill="1"/>
    <xf numFmtId="0" fontId="7" fillId="0" borderId="0" xfId="1" applyFont="1" applyFill="1"/>
    <xf numFmtId="0" fontId="6" fillId="0" borderId="0" xfId="1" applyFont="1"/>
    <xf numFmtId="0" fontId="5" fillId="0" borderId="0" xfId="1" applyFont="1" applyBorder="1"/>
    <xf numFmtId="0" fontId="4" fillId="0" borderId="0" xfId="1" applyFont="1" applyBorder="1"/>
    <xf numFmtId="0" fontId="82" fillId="3" borderId="0" xfId="2" applyFont="1" applyFill="1" applyAlignment="1">
      <alignment horizontal="center"/>
    </xf>
    <xf numFmtId="0" fontId="3" fillId="0" borderId="0" xfId="1" applyFont="1"/>
    <xf numFmtId="0" fontId="3" fillId="0" borderId="0" xfId="1" applyFont="1" applyFill="1"/>
    <xf numFmtId="1" fontId="79" fillId="0" borderId="0" xfId="1" applyNumberFormat="1"/>
    <xf numFmtId="14" fontId="2" fillId="0" borderId="0" xfId="1" applyNumberFormat="1" applyFont="1"/>
    <xf numFmtId="164" fontId="2" fillId="0" borderId="0" xfId="1" applyNumberFormat="1" applyFont="1"/>
    <xf numFmtId="1" fontId="2" fillId="0" borderId="0" xfId="1" applyNumberFormat="1" applyFont="1"/>
    <xf numFmtId="164" fontId="79" fillId="0" borderId="0" xfId="1" applyNumberFormat="1"/>
    <xf numFmtId="1" fontId="84" fillId="0" borderId="0" xfId="1" applyNumberFormat="1" applyFont="1" applyFill="1"/>
    <xf numFmtId="164" fontId="2" fillId="0" borderId="0" xfId="1" applyNumberFormat="1" applyFont="1" applyFill="1"/>
    <xf numFmtId="1" fontId="2" fillId="0" borderId="0" xfId="1" applyNumberFormat="1" applyFont="1" applyFill="1"/>
    <xf numFmtId="1" fontId="79" fillId="0" borderId="0" xfId="1" applyNumberFormat="1" applyFill="1"/>
    <xf numFmtId="1" fontId="86" fillId="0" borderId="0" xfId="1" applyNumberFormat="1" applyFont="1" applyFill="1"/>
    <xf numFmtId="1" fontId="0" fillId="0" borderId="0" xfId="1" applyNumberFormat="1" applyFont="1" applyFill="1"/>
    <xf numFmtId="164" fontId="79" fillId="0" borderId="0" xfId="1" applyNumberFormat="1" applyFill="1"/>
    <xf numFmtId="14" fontId="2" fillId="0" borderId="0" xfId="1" applyNumberFormat="1" applyFont="1" applyFill="1"/>
    <xf numFmtId="0" fontId="79" fillId="6" borderId="0" xfId="1" applyFill="1"/>
    <xf numFmtId="164" fontId="84" fillId="0" borderId="0" xfId="0" applyNumberFormat="1" applyFont="1" applyFill="1" applyBorder="1" applyAlignment="1" applyProtection="1"/>
    <xf numFmtId="1" fontId="84" fillId="0" borderId="0" xfId="0" applyNumberFormat="1" applyFont="1" applyFill="1" applyBorder="1" applyAlignment="1" applyProtection="1"/>
    <xf numFmtId="0" fontId="80" fillId="2" borderId="0" xfId="1" applyFont="1" applyFill="1" applyAlignment="1">
      <alignment horizontal="center"/>
    </xf>
    <xf numFmtId="0" fontId="82" fillId="3" borderId="0" xfId="2" applyFont="1" applyFill="1" applyAlignment="1">
      <alignment horizontal="center"/>
    </xf>
    <xf numFmtId="0" fontId="1" fillId="0" borderId="0" xfId="1" applyFont="1"/>
    <xf numFmtId="0" fontId="1" fillId="0" borderId="0" xfId="1" applyFont="1" applyBorder="1"/>
  </cellXfs>
  <cellStyles count="4">
    <cellStyle name="Hyperlink" xfId="2" builtinId="8"/>
    <cellStyle name="Normal" xfId="0" builtinId="0"/>
    <cellStyle name="Normal 2" xfId="3"/>
    <cellStyle name="Normal 2 2" xfId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4" name="الجدول167891223324515" displayName="الجدول167891223324515" ref="D3:J190" totalsRowCount="1">
  <autoFilter ref="D3:J189"/>
  <tableColumns count="7">
    <tableColumn id="1" name="التاريخ" dataDxfId="70" totalsRowDxfId="69"/>
    <tableColumn id="2" name="البيان" totalsRowDxfId="68"/>
    <tableColumn id="6" name="عمود1" dataDxfId="67" totalsRowDxfId="66" dataCellStyle="Normal 2 2"/>
    <tableColumn id="9" name="ملاحظات" dataDxfId="65" totalsRowDxfId="64" dataCellStyle="Normal 2 2"/>
    <tableColumn id="10" name="الشركة" dataDxfId="63" totalsRowDxfId="62" dataCellStyle="Normal 2 2"/>
    <tableColumn id="5" name="ايداع" totalsRowFunction="sum" dataDxfId="61" totalsRowDxfId="60"/>
    <tableColumn id="3" name="صرف" totalsRowFunction="sum" totalsRowDxfId="5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6" name="الجدول1678912233245517" displayName="الجدول1678912233245517" ref="D3:J171" totalsRowCount="1">
  <autoFilter ref="D3:J170"/>
  <tableColumns count="7">
    <tableColumn id="1" name="التاريخ" dataDxfId="58" totalsRowDxfId="20"/>
    <tableColumn id="2" name="البيان" totalsRowDxfId="19"/>
    <tableColumn id="6" name="الوصف" dataDxfId="57" totalsRowDxfId="18" dataCellStyle="Normal 2 2"/>
    <tableColumn id="9" name="ملاحظات" dataDxfId="56" totalsRowDxfId="17" dataCellStyle="Normal 2 2"/>
    <tableColumn id="7" name="الشركة" dataDxfId="55" totalsRowDxfId="16" dataCellStyle="Normal 2 2"/>
    <tableColumn id="5" name="ايداع" totalsRowFunction="sum" dataDxfId="54" totalsRowDxfId="15"/>
    <tableColumn id="3" name="صرف" totalsRowFunction="sum" totalsRow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7" name="الجدول16789122332455318" displayName="الجدول16789122332455318" ref="D3:J175" totalsRowCount="1">
  <autoFilter ref="D3:J174"/>
  <tableColumns count="7">
    <tableColumn id="1" name="التاريخ" dataDxfId="53" totalsRowDxfId="6"/>
    <tableColumn id="2" name="البيان" totalsRowDxfId="5"/>
    <tableColumn id="6" name="الوصف" dataDxfId="52" totalsRowDxfId="4" dataCellStyle="Normal 2 2"/>
    <tableColumn id="9" name="ملاحظات" dataDxfId="51" totalsRowDxfId="3" dataCellStyle="Normal 2 2"/>
    <tableColumn id="10" name="الشركة" dataDxfId="50" totalsRowDxfId="2" dataCellStyle="Normal 2 2"/>
    <tableColumn id="5" name="ايداع" totalsRowFunction="sum" dataDxfId="49" totalsRowDxfId="1"/>
    <tableColumn id="3" name="صرف" totalsRowFunction="sum" totalsRow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8" name="الجدول167891223324553819" displayName="الجدول167891223324553819" ref="D3:J123" totalsRowCount="1">
  <autoFilter ref="D3:J122"/>
  <tableColumns count="7">
    <tableColumn id="1" name="التاريخ" dataDxfId="48" totalsRowDxfId="13"/>
    <tableColumn id="2" name="البيان" totalsRowDxfId="12"/>
    <tableColumn id="7" name="الوصف" totalsRowDxfId="11" dataCellStyle="Normal 2 2"/>
    <tableColumn id="9" name="ملاحظات" dataDxfId="47" totalsRowDxfId="10" dataCellStyle="Normal 2 2"/>
    <tableColumn id="4" name="الشركة" dataDxfId="46" totalsRowDxfId="9" dataCellStyle="Normal 2 2"/>
    <tableColumn id="5" name="ايداع" totalsRowFunction="sum" dataDxfId="45" totalsRowDxfId="8"/>
    <tableColumn id="3" name="صرف" totalsRowFunction="sum" totalsRowDxfId="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" name="الجدول1678912233245691120" displayName="الجدول1678912233245691120" ref="D3:J36" totalsRowCount="1">
  <autoFilter ref="D3:J35"/>
  <tableColumns count="7">
    <tableColumn id="1" name="التاريخ" dataDxfId="44" totalsRowDxfId="43"/>
    <tableColumn id="4" name="اليوم" dataDxfId="42" totalsRowDxfId="41" dataCellStyle="Normal 2 2"/>
    <tableColumn id="8" name="عدد ايام يوسف" dataDxfId="40" totalsRowDxfId="39" dataCellStyle="Normal 2 2"/>
    <tableColumn id="6" name="اجرة" totalsRowFunction="sum" dataDxfId="38" totalsRowDxfId="37" dataCellStyle="Normal 2 2"/>
    <tableColumn id="7" name="بدل اضافي" totalsRowFunction="sum" dataDxfId="36" totalsRowDxfId="35" dataCellStyle="Normal 2 2"/>
    <tableColumn id="9" name="مواصلات يوسف" totalsRowFunction="custom" dataDxfId="34" totalsRowDxfId="33" dataCellStyle="Normal 2 2">
      <totalsRowFormula>SUM(I4:I35)</totalsRowFormula>
    </tableColumn>
    <tableColumn id="11" name="افطار يوسف" totalsRowFunction="custom" dataDxfId="32" totalsRowDxfId="31" dataCellStyle="Normal 2 2">
      <totalsRowFormula>SUM(J4:J35)</totalsRow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3" name="الجدول167891223324569214" displayName="الجدول167891223324569214" ref="D3:H36" totalsRowCount="1">
  <autoFilter ref="D3:H35"/>
  <tableColumns count="5">
    <tableColumn id="1" name="التاريخ" dataDxfId="30" totalsRowDxfId="29"/>
    <tableColumn id="4" name="اليوم" dataDxfId="28" totalsRowDxfId="27" dataCellStyle="Normal 2 2"/>
    <tableColumn id="12" name="الاجرة" totalsRowFunction="sum" dataDxfId="26" totalsRowDxfId="25" dataCellStyle="Normal 2 2"/>
    <tableColumn id="14" name="فوركلفت و ركفري" totalsRowFunction="custom" dataDxfId="24" totalsRowDxfId="23" dataCellStyle="Normal 2 2">
      <totalsRowFormula>SUM(الجدول167891223324569214[فوركلفت و ركفري])</totalsRowFormula>
    </tableColumn>
    <tableColumn id="13" name="ملاحظات" totalsRowFunction="custom" dataDxfId="22" totalsRowDxfId="21" dataCellStyle="Normal 2 2">
      <totalsRowFormula>الجدول167891223324569214[[#Totals],[فوركلفت و ركفري]]+الجدول167891223324569214[[#Totals],[الاجرة]]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0"/>
  <sheetViews>
    <sheetView rightToLeft="1" topLeftCell="D177" zoomScale="115" zoomScaleNormal="115" workbookViewId="0">
      <selection activeCell="E194" sqref="E194"/>
    </sheetView>
  </sheetViews>
  <sheetFormatPr defaultRowHeight="14.25" x14ac:dyDescent="0.2"/>
  <cols>
    <col min="1" max="1" width="3.625" style="1" hidden="1" customWidth="1"/>
    <col min="2" max="3" width="9.125" style="1" hidden="1" customWidth="1"/>
    <col min="4" max="4" width="10.25" style="2" bestFit="1" customWidth="1"/>
    <col min="5" max="5" width="28" style="1" customWidth="1"/>
    <col min="6" max="6" width="13.5" style="1" customWidth="1"/>
    <col min="7" max="7" width="31" style="1" bestFit="1" customWidth="1"/>
    <col min="8" max="8" width="17.25" style="1" customWidth="1"/>
    <col min="9" max="9" width="6.125" style="1" bestFit="1" customWidth="1"/>
    <col min="10" max="10" width="7.875" style="1" bestFit="1" customWidth="1"/>
    <col min="11" max="16384" width="9" style="1"/>
  </cols>
  <sheetData>
    <row r="2" spans="4:13" ht="15.75" x14ac:dyDescent="0.25">
      <c r="D2" s="163" t="s">
        <v>0</v>
      </c>
      <c r="E2" s="163"/>
      <c r="F2" s="163"/>
      <c r="G2" s="163"/>
      <c r="H2" s="163"/>
      <c r="I2" s="163"/>
      <c r="J2" s="163"/>
    </row>
    <row r="3" spans="4:13" x14ac:dyDescent="0.2">
      <c r="D3" s="2" t="s">
        <v>2</v>
      </c>
      <c r="E3" s="1" t="s">
        <v>3</v>
      </c>
      <c r="F3" s="1" t="s">
        <v>239</v>
      </c>
      <c r="G3" s="3" t="s">
        <v>4</v>
      </c>
      <c r="H3" s="100" t="s">
        <v>192</v>
      </c>
      <c r="I3" s="3" t="s">
        <v>5</v>
      </c>
      <c r="J3" s="3" t="s">
        <v>6</v>
      </c>
      <c r="L3" s="164" t="s">
        <v>7</v>
      </c>
      <c r="M3" s="164"/>
    </row>
    <row r="4" spans="4:13" x14ac:dyDescent="0.2">
      <c r="E4" s="100" t="s">
        <v>90</v>
      </c>
      <c r="F4" s="100" t="s">
        <v>278</v>
      </c>
      <c r="G4" s="103" t="s">
        <v>279</v>
      </c>
      <c r="I4" s="1">
        <v>0</v>
      </c>
      <c r="J4" s="1">
        <v>0</v>
      </c>
      <c r="L4" s="164"/>
      <c r="M4" s="164"/>
    </row>
    <row r="5" spans="4:13" ht="18" x14ac:dyDescent="0.25">
      <c r="D5" s="2">
        <v>45964</v>
      </c>
      <c r="E5" s="3" t="s">
        <v>8</v>
      </c>
      <c r="F5" s="100" t="s">
        <v>42</v>
      </c>
      <c r="G5" s="3"/>
      <c r="H5" s="100" t="s">
        <v>192</v>
      </c>
      <c r="I5" s="3"/>
      <c r="J5" s="1">
        <v>184</v>
      </c>
      <c r="L5" s="99"/>
      <c r="M5" s="99"/>
    </row>
    <row r="6" spans="4:13" x14ac:dyDescent="0.2">
      <c r="D6" s="2">
        <v>45964</v>
      </c>
      <c r="E6" s="3" t="s">
        <v>9</v>
      </c>
      <c r="F6" s="100" t="s">
        <v>9</v>
      </c>
      <c r="G6" s="3"/>
      <c r="H6" s="100" t="s">
        <v>192</v>
      </c>
      <c r="I6" s="3"/>
      <c r="J6" s="1">
        <v>60</v>
      </c>
    </row>
    <row r="7" spans="4:13" x14ac:dyDescent="0.2">
      <c r="D7" s="2">
        <v>45965</v>
      </c>
      <c r="E7" s="3" t="s">
        <v>9</v>
      </c>
      <c r="F7" s="100" t="s">
        <v>9</v>
      </c>
      <c r="G7" s="3"/>
      <c r="H7" s="100" t="s">
        <v>192</v>
      </c>
      <c r="I7" s="3"/>
      <c r="J7" s="1">
        <v>80</v>
      </c>
    </row>
    <row r="8" spans="4:13" x14ac:dyDescent="0.2">
      <c r="D8" s="2">
        <v>45965</v>
      </c>
      <c r="E8" s="3" t="s">
        <v>10</v>
      </c>
      <c r="F8" s="100" t="s">
        <v>244</v>
      </c>
      <c r="G8" s="3"/>
      <c r="H8" s="100" t="s">
        <v>192</v>
      </c>
      <c r="I8" s="3"/>
      <c r="J8" s="1">
        <v>215</v>
      </c>
    </row>
    <row r="9" spans="4:13" x14ac:dyDescent="0.2">
      <c r="D9" s="2">
        <v>45965</v>
      </c>
      <c r="E9" s="100" t="s">
        <v>251</v>
      </c>
      <c r="F9" s="100" t="s">
        <v>249</v>
      </c>
      <c r="G9" s="100" t="s">
        <v>254</v>
      </c>
      <c r="H9" s="100" t="s">
        <v>192</v>
      </c>
      <c r="I9" s="3"/>
      <c r="J9" s="1">
        <v>2175</v>
      </c>
    </row>
    <row r="10" spans="4:13" x14ac:dyDescent="0.2">
      <c r="D10" s="2">
        <v>45966</v>
      </c>
      <c r="E10" s="100" t="s">
        <v>248</v>
      </c>
      <c r="F10" s="100" t="s">
        <v>81</v>
      </c>
      <c r="G10" s="100" t="s">
        <v>263</v>
      </c>
      <c r="H10" s="100" t="s">
        <v>192</v>
      </c>
      <c r="I10" s="3"/>
      <c r="J10" s="1">
        <v>500</v>
      </c>
    </row>
    <row r="11" spans="4:13" x14ac:dyDescent="0.2">
      <c r="D11" s="2">
        <v>45966</v>
      </c>
      <c r="E11" s="100" t="s">
        <v>247</v>
      </c>
      <c r="F11" s="100" t="s">
        <v>81</v>
      </c>
      <c r="G11" s="3" t="s">
        <v>12</v>
      </c>
      <c r="H11" s="100" t="s">
        <v>192</v>
      </c>
      <c r="I11" s="3"/>
      <c r="J11" s="1">
        <v>155</v>
      </c>
    </row>
    <row r="12" spans="4:13" x14ac:dyDescent="0.2">
      <c r="D12" s="2">
        <v>45966</v>
      </c>
      <c r="E12" s="100" t="s">
        <v>246</v>
      </c>
      <c r="F12" s="100" t="s">
        <v>81</v>
      </c>
      <c r="G12" s="3" t="s">
        <v>13</v>
      </c>
      <c r="H12" s="100" t="s">
        <v>192</v>
      </c>
      <c r="I12" s="3"/>
      <c r="J12" s="1">
        <v>100</v>
      </c>
    </row>
    <row r="13" spans="4:13" x14ac:dyDescent="0.2">
      <c r="D13" s="2">
        <v>45966</v>
      </c>
      <c r="E13" s="3" t="s">
        <v>14</v>
      </c>
      <c r="F13" s="100" t="s">
        <v>40</v>
      </c>
      <c r="G13" s="3"/>
      <c r="H13" s="100" t="s">
        <v>192</v>
      </c>
      <c r="I13" s="3"/>
      <c r="J13" s="1">
        <v>64</v>
      </c>
    </row>
    <row r="14" spans="4:13" x14ac:dyDescent="0.2">
      <c r="D14" s="2">
        <v>45966</v>
      </c>
      <c r="E14" s="3" t="s">
        <v>15</v>
      </c>
      <c r="F14" s="100" t="s">
        <v>244</v>
      </c>
      <c r="G14" s="3"/>
      <c r="H14" s="100" t="s">
        <v>192</v>
      </c>
      <c r="I14" s="3"/>
      <c r="J14" s="1">
        <v>73.5</v>
      </c>
    </row>
    <row r="15" spans="4:13" x14ac:dyDescent="0.2">
      <c r="D15" s="2">
        <v>45966</v>
      </c>
      <c r="E15" s="3" t="s">
        <v>8</v>
      </c>
      <c r="F15" s="100" t="s">
        <v>42</v>
      </c>
      <c r="G15" s="3"/>
      <c r="H15" s="100" t="s">
        <v>192</v>
      </c>
      <c r="I15" s="3"/>
      <c r="J15" s="1">
        <v>184</v>
      </c>
    </row>
    <row r="16" spans="4:13" x14ac:dyDescent="0.2">
      <c r="D16" s="2">
        <v>45966</v>
      </c>
      <c r="E16" s="21" t="s">
        <v>71</v>
      </c>
      <c r="F16" s="100" t="s">
        <v>16</v>
      </c>
      <c r="G16" s="21" t="s">
        <v>59</v>
      </c>
      <c r="H16" s="100" t="s">
        <v>192</v>
      </c>
      <c r="I16" s="3"/>
      <c r="J16" s="1">
        <v>200</v>
      </c>
    </row>
    <row r="17" spans="4:10" x14ac:dyDescent="0.2">
      <c r="D17" s="2">
        <v>45966</v>
      </c>
      <c r="E17" s="3" t="s">
        <v>9</v>
      </c>
      <c r="F17" s="100" t="s">
        <v>9</v>
      </c>
      <c r="G17" s="3"/>
      <c r="H17" s="100" t="s">
        <v>192</v>
      </c>
      <c r="I17" s="4"/>
      <c r="J17" s="1">
        <v>79</v>
      </c>
    </row>
    <row r="18" spans="4:10" x14ac:dyDescent="0.2">
      <c r="D18" s="2">
        <v>45967</v>
      </c>
      <c r="E18" s="3" t="s">
        <v>17</v>
      </c>
      <c r="F18" s="100" t="s">
        <v>18</v>
      </c>
      <c r="G18" s="3" t="s">
        <v>18</v>
      </c>
      <c r="H18" s="100" t="s">
        <v>192</v>
      </c>
      <c r="I18" s="4"/>
      <c r="J18" s="1">
        <v>2500</v>
      </c>
    </row>
    <row r="19" spans="4:10" x14ac:dyDescent="0.2">
      <c r="D19" s="2">
        <v>45967</v>
      </c>
      <c r="E19" s="3" t="s">
        <v>19</v>
      </c>
      <c r="F19" s="100" t="s">
        <v>241</v>
      </c>
      <c r="G19" s="3"/>
      <c r="H19" s="100" t="s">
        <v>192</v>
      </c>
      <c r="I19" s="4"/>
      <c r="J19" s="1">
        <v>500</v>
      </c>
    </row>
    <row r="20" spans="4:10" x14ac:dyDescent="0.2">
      <c r="D20" s="2">
        <v>45967</v>
      </c>
      <c r="E20" s="3" t="s">
        <v>20</v>
      </c>
      <c r="F20" s="100" t="s">
        <v>244</v>
      </c>
      <c r="G20" s="3"/>
      <c r="H20" s="100" t="s">
        <v>192</v>
      </c>
      <c r="I20" s="4"/>
      <c r="J20" s="1">
        <v>330</v>
      </c>
    </row>
    <row r="21" spans="4:10" x14ac:dyDescent="0.2">
      <c r="D21" s="2">
        <v>45967</v>
      </c>
      <c r="E21" s="3" t="s">
        <v>21</v>
      </c>
      <c r="F21" s="100" t="s">
        <v>250</v>
      </c>
      <c r="G21" s="3"/>
      <c r="H21" s="100" t="s">
        <v>192</v>
      </c>
      <c r="I21" s="4"/>
      <c r="J21" s="1">
        <v>13</v>
      </c>
    </row>
    <row r="22" spans="4:10" x14ac:dyDescent="0.2">
      <c r="D22" s="2">
        <v>45967</v>
      </c>
      <c r="E22" s="3" t="s">
        <v>8</v>
      </c>
      <c r="F22" s="100" t="s">
        <v>42</v>
      </c>
      <c r="G22" s="3"/>
      <c r="H22" s="100" t="s">
        <v>192</v>
      </c>
      <c r="I22" s="4"/>
      <c r="J22" s="1">
        <v>212</v>
      </c>
    </row>
    <row r="23" spans="4:10" x14ac:dyDescent="0.2">
      <c r="D23" s="2">
        <v>45967</v>
      </c>
      <c r="E23" s="3" t="s">
        <v>22</v>
      </c>
      <c r="F23" s="100" t="s">
        <v>9</v>
      </c>
      <c r="G23" s="3"/>
      <c r="H23" s="100" t="s">
        <v>192</v>
      </c>
      <c r="I23" s="4"/>
      <c r="J23" s="1">
        <v>52</v>
      </c>
    </row>
    <row r="24" spans="4:10" x14ac:dyDescent="0.2">
      <c r="D24" s="2">
        <v>45967</v>
      </c>
      <c r="E24" s="3" t="s">
        <v>23</v>
      </c>
      <c r="F24" s="100" t="s">
        <v>244</v>
      </c>
      <c r="G24" s="3"/>
      <c r="H24" s="100" t="s">
        <v>192</v>
      </c>
      <c r="I24" s="4"/>
      <c r="J24" s="1">
        <v>100</v>
      </c>
    </row>
    <row r="25" spans="4:10" x14ac:dyDescent="0.2">
      <c r="D25" s="2">
        <v>45967</v>
      </c>
      <c r="E25" s="100" t="s">
        <v>252</v>
      </c>
      <c r="F25" s="100" t="s">
        <v>249</v>
      </c>
      <c r="G25" s="100" t="s">
        <v>253</v>
      </c>
      <c r="H25" s="100" t="s">
        <v>192</v>
      </c>
      <c r="I25" s="4"/>
      <c r="J25" s="1">
        <v>860</v>
      </c>
    </row>
    <row r="26" spans="4:10" x14ac:dyDescent="0.2">
      <c r="D26" s="2">
        <v>45968</v>
      </c>
      <c r="E26" s="21" t="s">
        <v>16</v>
      </c>
      <c r="F26" s="100" t="s">
        <v>16</v>
      </c>
      <c r="G26" s="21" t="s">
        <v>59</v>
      </c>
      <c r="H26" s="100" t="s">
        <v>192</v>
      </c>
      <c r="I26" s="4"/>
      <c r="J26" s="1">
        <v>200</v>
      </c>
    </row>
    <row r="27" spans="4:10" x14ac:dyDescent="0.2">
      <c r="D27" s="2">
        <v>45968</v>
      </c>
      <c r="E27" s="23" t="s">
        <v>32</v>
      </c>
      <c r="F27" s="100" t="s">
        <v>16</v>
      </c>
      <c r="G27" s="6" t="s">
        <v>32</v>
      </c>
      <c r="H27" s="6" t="s">
        <v>192</v>
      </c>
      <c r="I27" s="6"/>
      <c r="J27" s="1">
        <v>100</v>
      </c>
    </row>
    <row r="28" spans="4:10" x14ac:dyDescent="0.2">
      <c r="D28" s="2">
        <v>45968</v>
      </c>
      <c r="E28" s="3" t="s">
        <v>8</v>
      </c>
      <c r="F28" s="100" t="s">
        <v>42</v>
      </c>
      <c r="G28" s="3"/>
      <c r="H28" s="100" t="s">
        <v>192</v>
      </c>
      <c r="I28" s="4"/>
      <c r="J28" s="1">
        <v>114</v>
      </c>
    </row>
    <row r="29" spans="4:10" x14ac:dyDescent="0.2">
      <c r="D29" s="2">
        <v>45968</v>
      </c>
      <c r="E29" s="3" t="s">
        <v>9</v>
      </c>
      <c r="F29" s="100" t="s">
        <v>9</v>
      </c>
      <c r="G29" s="3"/>
      <c r="H29" s="100" t="s">
        <v>192</v>
      </c>
      <c r="I29" s="4"/>
      <c r="J29" s="1">
        <v>55</v>
      </c>
    </row>
    <row r="30" spans="4:10" x14ac:dyDescent="0.2">
      <c r="D30" s="2">
        <v>45969</v>
      </c>
      <c r="E30" s="3" t="s">
        <v>8</v>
      </c>
      <c r="F30" s="100" t="s">
        <v>42</v>
      </c>
      <c r="G30" s="3"/>
      <c r="H30" s="100" t="s">
        <v>192</v>
      </c>
      <c r="I30" s="4"/>
      <c r="J30" s="1">
        <v>184</v>
      </c>
    </row>
    <row r="31" spans="4:10" x14ac:dyDescent="0.2">
      <c r="D31" s="2">
        <v>45969</v>
      </c>
      <c r="E31" s="3" t="s">
        <v>14</v>
      </c>
      <c r="F31" s="100" t="s">
        <v>40</v>
      </c>
      <c r="G31" s="3"/>
      <c r="H31" s="100" t="s">
        <v>192</v>
      </c>
      <c r="I31" s="4"/>
      <c r="J31" s="1">
        <v>45</v>
      </c>
    </row>
    <row r="32" spans="4:10" x14ac:dyDescent="0.2">
      <c r="D32" s="2">
        <v>45969</v>
      </c>
      <c r="E32" s="3" t="s">
        <v>25</v>
      </c>
      <c r="F32" s="100" t="s">
        <v>244</v>
      </c>
      <c r="G32" s="3"/>
      <c r="H32" s="100" t="s">
        <v>192</v>
      </c>
      <c r="I32" s="4"/>
      <c r="J32" s="1">
        <v>18</v>
      </c>
    </row>
    <row r="33" spans="4:10" x14ac:dyDescent="0.2">
      <c r="D33" s="2">
        <v>45969</v>
      </c>
      <c r="E33" s="3" t="s">
        <v>26</v>
      </c>
      <c r="F33" s="100" t="s">
        <v>126</v>
      </c>
      <c r="G33" s="3"/>
      <c r="H33" s="100" t="s">
        <v>192</v>
      </c>
      <c r="I33" s="4"/>
      <c r="J33" s="1">
        <v>9</v>
      </c>
    </row>
    <row r="34" spans="4:10" x14ac:dyDescent="0.2">
      <c r="D34" s="2">
        <v>45969</v>
      </c>
      <c r="E34" s="3" t="s">
        <v>27</v>
      </c>
      <c r="F34" s="100" t="s">
        <v>40</v>
      </c>
      <c r="G34" s="3"/>
      <c r="H34" s="100" t="s">
        <v>192</v>
      </c>
      <c r="I34" s="4"/>
      <c r="J34" s="1">
        <v>45</v>
      </c>
    </row>
    <row r="35" spans="4:10" x14ac:dyDescent="0.2">
      <c r="D35" s="2">
        <v>45969</v>
      </c>
      <c r="E35" s="3" t="s">
        <v>9</v>
      </c>
      <c r="F35" s="100" t="s">
        <v>9</v>
      </c>
      <c r="G35" s="3"/>
      <c r="H35" s="100" t="s">
        <v>192</v>
      </c>
      <c r="I35" s="4"/>
      <c r="J35" s="1">
        <v>73</v>
      </c>
    </row>
    <row r="36" spans="4:10" x14ac:dyDescent="0.2">
      <c r="D36" s="2">
        <v>45969</v>
      </c>
      <c r="E36" s="3" t="s">
        <v>21</v>
      </c>
      <c r="F36" s="100" t="s">
        <v>250</v>
      </c>
      <c r="G36" s="3"/>
      <c r="H36" s="100" t="s">
        <v>192</v>
      </c>
      <c r="I36" s="4"/>
      <c r="J36" s="1">
        <v>12</v>
      </c>
    </row>
    <row r="37" spans="4:10" x14ac:dyDescent="0.2">
      <c r="D37" s="2">
        <v>45969</v>
      </c>
      <c r="E37" s="3" t="s">
        <v>28</v>
      </c>
      <c r="F37" s="100" t="s">
        <v>244</v>
      </c>
      <c r="G37" s="3"/>
      <c r="H37" s="100" t="s">
        <v>192</v>
      </c>
      <c r="I37" s="4"/>
      <c r="J37" s="1">
        <v>69</v>
      </c>
    </row>
    <row r="38" spans="4:10" x14ac:dyDescent="0.2">
      <c r="D38" s="2">
        <v>45969</v>
      </c>
      <c r="E38" s="3" t="s">
        <v>11</v>
      </c>
      <c r="F38" s="100" t="s">
        <v>81</v>
      </c>
      <c r="G38" s="3" t="s">
        <v>13</v>
      </c>
      <c r="H38" s="100" t="s">
        <v>192</v>
      </c>
      <c r="I38" s="5"/>
      <c r="J38" s="1">
        <v>85</v>
      </c>
    </row>
    <row r="39" spans="4:10" x14ac:dyDescent="0.2">
      <c r="D39" s="2">
        <v>45969</v>
      </c>
      <c r="E39" s="3" t="s">
        <v>29</v>
      </c>
      <c r="F39" s="100" t="s">
        <v>18</v>
      </c>
      <c r="G39" s="3" t="s">
        <v>18</v>
      </c>
      <c r="H39" s="100" t="s">
        <v>192</v>
      </c>
      <c r="I39" s="5"/>
      <c r="J39" s="1">
        <v>400</v>
      </c>
    </row>
    <row r="40" spans="4:10" x14ac:dyDescent="0.2">
      <c r="D40" s="2">
        <v>45969</v>
      </c>
      <c r="E40" s="100" t="s">
        <v>251</v>
      </c>
      <c r="F40" s="100" t="s">
        <v>249</v>
      </c>
      <c r="G40" s="100" t="s">
        <v>255</v>
      </c>
      <c r="H40" s="100" t="s">
        <v>192</v>
      </c>
      <c r="I40" s="5"/>
      <c r="J40" s="1">
        <v>1075</v>
      </c>
    </row>
    <row r="41" spans="4:10" x14ac:dyDescent="0.2">
      <c r="D41" s="2">
        <v>45969</v>
      </c>
      <c r="E41" s="3" t="s">
        <v>30</v>
      </c>
      <c r="F41" s="100" t="s">
        <v>18</v>
      </c>
      <c r="G41" s="3" t="s">
        <v>31</v>
      </c>
      <c r="H41" s="100" t="s">
        <v>192</v>
      </c>
      <c r="I41" s="4"/>
      <c r="J41" s="1">
        <v>25</v>
      </c>
    </row>
    <row r="42" spans="4:10" x14ac:dyDescent="0.2">
      <c r="D42" s="2">
        <v>45970</v>
      </c>
      <c r="E42" s="3" t="s">
        <v>8</v>
      </c>
      <c r="F42" s="100" t="s">
        <v>42</v>
      </c>
      <c r="G42" s="3"/>
      <c r="H42" s="100" t="s">
        <v>192</v>
      </c>
      <c r="I42" s="4"/>
      <c r="J42" s="1">
        <v>184</v>
      </c>
    </row>
    <row r="43" spans="4:10" x14ac:dyDescent="0.2">
      <c r="D43" s="2">
        <v>45970</v>
      </c>
      <c r="E43" s="3" t="s">
        <v>9</v>
      </c>
      <c r="F43" s="100" t="s">
        <v>9</v>
      </c>
      <c r="G43" s="3"/>
      <c r="H43" s="100" t="s">
        <v>192</v>
      </c>
      <c r="I43" s="4"/>
      <c r="J43" s="1">
        <v>33</v>
      </c>
    </row>
    <row r="44" spans="4:10" x14ac:dyDescent="0.2">
      <c r="D44" s="2">
        <v>45970</v>
      </c>
      <c r="E44" s="3" t="s">
        <v>21</v>
      </c>
      <c r="F44" s="100" t="s">
        <v>250</v>
      </c>
      <c r="G44" s="3"/>
      <c r="H44" s="100" t="s">
        <v>192</v>
      </c>
      <c r="I44" s="4"/>
      <c r="J44" s="1">
        <v>9.5</v>
      </c>
    </row>
    <row r="45" spans="4:10" x14ac:dyDescent="0.2">
      <c r="D45" s="2">
        <v>45970</v>
      </c>
      <c r="E45" s="3" t="s">
        <v>30</v>
      </c>
      <c r="F45" s="100" t="s">
        <v>18</v>
      </c>
      <c r="G45" s="3" t="s">
        <v>18</v>
      </c>
      <c r="H45" s="100" t="s">
        <v>192</v>
      </c>
      <c r="I45" s="4"/>
      <c r="J45" s="1">
        <v>25</v>
      </c>
    </row>
    <row r="46" spans="4:10" x14ac:dyDescent="0.2">
      <c r="D46" s="2">
        <v>45970</v>
      </c>
      <c r="E46" s="3" t="s">
        <v>19</v>
      </c>
      <c r="F46" s="100" t="s">
        <v>241</v>
      </c>
      <c r="G46" s="3"/>
      <c r="H46" s="100" t="s">
        <v>192</v>
      </c>
      <c r="I46" s="4"/>
      <c r="J46" s="1">
        <v>500</v>
      </c>
    </row>
    <row r="47" spans="4:10" x14ac:dyDescent="0.2">
      <c r="D47" s="2">
        <v>45970</v>
      </c>
      <c r="E47" s="3" t="s">
        <v>16</v>
      </c>
      <c r="F47" s="100" t="s">
        <v>16</v>
      </c>
      <c r="H47" s="100" t="s">
        <v>192</v>
      </c>
      <c r="I47" s="4"/>
      <c r="J47" s="1">
        <v>300</v>
      </c>
    </row>
    <row r="48" spans="4:10" x14ac:dyDescent="0.2">
      <c r="D48" s="2">
        <v>45970</v>
      </c>
      <c r="E48" s="3" t="s">
        <v>32</v>
      </c>
      <c r="F48" s="100" t="s">
        <v>16</v>
      </c>
      <c r="G48" s="6"/>
      <c r="H48" s="6" t="s">
        <v>192</v>
      </c>
      <c r="I48" s="6"/>
      <c r="J48" s="1">
        <v>100</v>
      </c>
    </row>
    <row r="49" spans="4:10" x14ac:dyDescent="0.2">
      <c r="D49" s="2">
        <v>45970</v>
      </c>
      <c r="E49" s="3" t="s">
        <v>33</v>
      </c>
      <c r="F49" s="100" t="s">
        <v>18</v>
      </c>
      <c r="G49" s="6" t="s">
        <v>18</v>
      </c>
      <c r="H49" s="6" t="s">
        <v>192</v>
      </c>
      <c r="I49" s="6"/>
      <c r="J49" s="1">
        <v>2500</v>
      </c>
    </row>
    <row r="50" spans="4:10" x14ac:dyDescent="0.2">
      <c r="D50" s="2">
        <v>45970</v>
      </c>
      <c r="E50" s="3" t="s">
        <v>34</v>
      </c>
      <c r="F50" s="100" t="s">
        <v>244</v>
      </c>
      <c r="G50" s="6"/>
      <c r="H50" s="6" t="s">
        <v>192</v>
      </c>
      <c r="I50" s="6"/>
      <c r="J50" s="1">
        <v>47.5</v>
      </c>
    </row>
    <row r="51" spans="4:10" x14ac:dyDescent="0.2">
      <c r="D51" s="2">
        <v>45970</v>
      </c>
      <c r="E51" s="3" t="s">
        <v>21</v>
      </c>
      <c r="F51" s="100" t="s">
        <v>250</v>
      </c>
      <c r="G51" s="6"/>
      <c r="H51" s="6" t="s">
        <v>192</v>
      </c>
      <c r="I51" s="6"/>
      <c r="J51" s="1">
        <v>28</v>
      </c>
    </row>
    <row r="52" spans="4:10" x14ac:dyDescent="0.2">
      <c r="D52" s="2">
        <v>45970</v>
      </c>
      <c r="E52" s="3" t="s">
        <v>36</v>
      </c>
      <c r="F52" s="100" t="s">
        <v>126</v>
      </c>
      <c r="G52" s="6"/>
      <c r="H52" s="6" t="s">
        <v>192</v>
      </c>
      <c r="I52" s="6"/>
      <c r="J52" s="1">
        <v>31</v>
      </c>
    </row>
    <row r="53" spans="4:10" x14ac:dyDescent="0.2">
      <c r="D53" s="2">
        <v>45971</v>
      </c>
      <c r="E53" s="3" t="s">
        <v>8</v>
      </c>
      <c r="F53" s="100" t="s">
        <v>42</v>
      </c>
      <c r="G53" s="6"/>
      <c r="H53" s="6" t="s">
        <v>192</v>
      </c>
      <c r="I53" s="6"/>
      <c r="J53" s="1">
        <v>212</v>
      </c>
    </row>
    <row r="54" spans="4:10" x14ac:dyDescent="0.2">
      <c r="D54" s="2">
        <v>45971</v>
      </c>
      <c r="E54" s="3" t="s">
        <v>10</v>
      </c>
      <c r="F54" s="100" t="s">
        <v>244</v>
      </c>
      <c r="G54" s="6"/>
      <c r="H54" s="6" t="s">
        <v>192</v>
      </c>
      <c r="I54" s="6"/>
      <c r="J54" s="1">
        <v>275</v>
      </c>
    </row>
    <row r="55" spans="4:10" x14ac:dyDescent="0.2">
      <c r="D55" s="2">
        <v>45971</v>
      </c>
      <c r="E55" s="3" t="s">
        <v>37</v>
      </c>
      <c r="F55" s="100" t="s">
        <v>241</v>
      </c>
      <c r="G55" s="6"/>
      <c r="H55" s="6" t="s">
        <v>192</v>
      </c>
      <c r="I55" s="6"/>
      <c r="J55" s="1">
        <v>100</v>
      </c>
    </row>
    <row r="56" spans="4:10" x14ac:dyDescent="0.2">
      <c r="D56" s="2">
        <v>45971</v>
      </c>
      <c r="E56" s="100" t="s">
        <v>251</v>
      </c>
      <c r="F56" s="100" t="s">
        <v>249</v>
      </c>
      <c r="G56" s="6" t="s">
        <v>261</v>
      </c>
      <c r="H56" s="6" t="s">
        <v>192</v>
      </c>
      <c r="I56" s="6"/>
      <c r="J56" s="1">
        <v>1075</v>
      </c>
    </row>
    <row r="57" spans="4:10" x14ac:dyDescent="0.2">
      <c r="D57" s="2">
        <v>45971</v>
      </c>
      <c r="E57" s="3" t="s">
        <v>30</v>
      </c>
      <c r="F57" s="100" t="s">
        <v>18</v>
      </c>
      <c r="G57" s="6" t="s">
        <v>18</v>
      </c>
      <c r="H57" s="6" t="s">
        <v>192</v>
      </c>
      <c r="I57" s="6"/>
      <c r="J57" s="1">
        <v>25</v>
      </c>
    </row>
    <row r="58" spans="4:10" x14ac:dyDescent="0.2">
      <c r="D58" s="2">
        <v>45971</v>
      </c>
      <c r="E58" s="100" t="s">
        <v>256</v>
      </c>
      <c r="F58" s="100" t="s">
        <v>244</v>
      </c>
      <c r="G58" s="6"/>
      <c r="H58" s="6" t="s">
        <v>192</v>
      </c>
      <c r="I58" s="6"/>
      <c r="J58" s="1">
        <v>51</v>
      </c>
    </row>
    <row r="59" spans="4:10" x14ac:dyDescent="0.2">
      <c r="D59" s="2">
        <v>45971</v>
      </c>
      <c r="E59" s="100" t="s">
        <v>257</v>
      </c>
      <c r="F59" s="100" t="s">
        <v>244</v>
      </c>
      <c r="G59" s="6"/>
      <c r="H59" s="6" t="s">
        <v>192</v>
      </c>
      <c r="I59" s="6"/>
      <c r="J59" s="1">
        <v>14</v>
      </c>
    </row>
    <row r="60" spans="4:10" x14ac:dyDescent="0.2">
      <c r="D60" s="2">
        <v>45971</v>
      </c>
      <c r="E60" s="25" t="s">
        <v>82</v>
      </c>
      <c r="F60" s="100" t="s">
        <v>250</v>
      </c>
      <c r="G60" s="6"/>
      <c r="H60" s="6" t="s">
        <v>192</v>
      </c>
      <c r="I60" s="6"/>
      <c r="J60" s="1">
        <v>11.5</v>
      </c>
    </row>
    <row r="61" spans="4:10" x14ac:dyDescent="0.2">
      <c r="D61" s="2">
        <v>45971</v>
      </c>
      <c r="E61" s="3" t="s">
        <v>38</v>
      </c>
      <c r="F61" s="100" t="s">
        <v>9</v>
      </c>
      <c r="G61" s="6"/>
      <c r="H61" s="6" t="s">
        <v>192</v>
      </c>
      <c r="I61" s="6"/>
      <c r="J61" s="1">
        <v>12</v>
      </c>
    </row>
    <row r="62" spans="4:10" x14ac:dyDescent="0.2">
      <c r="D62" s="2">
        <v>45971</v>
      </c>
      <c r="E62" s="3" t="s">
        <v>9</v>
      </c>
      <c r="F62" s="100" t="s">
        <v>9</v>
      </c>
      <c r="G62" s="6"/>
      <c r="H62" s="6" t="s">
        <v>192</v>
      </c>
      <c r="I62" s="6"/>
      <c r="J62" s="1">
        <v>66.5</v>
      </c>
    </row>
    <row r="63" spans="4:10" x14ac:dyDescent="0.2">
      <c r="D63" s="2">
        <v>45971</v>
      </c>
      <c r="E63" s="100" t="s">
        <v>90</v>
      </c>
      <c r="F63" s="6" t="s">
        <v>18</v>
      </c>
      <c r="G63" s="6" t="s">
        <v>258</v>
      </c>
      <c r="H63" s="6" t="s">
        <v>192</v>
      </c>
      <c r="I63" s="6"/>
      <c r="J63" s="1">
        <v>3500</v>
      </c>
    </row>
    <row r="64" spans="4:10" x14ac:dyDescent="0.2">
      <c r="D64" s="2">
        <v>45972</v>
      </c>
      <c r="E64" s="3" t="s">
        <v>39</v>
      </c>
      <c r="F64" s="100" t="s">
        <v>244</v>
      </c>
      <c r="G64" s="6"/>
      <c r="H64" s="6" t="s">
        <v>192</v>
      </c>
      <c r="I64" s="6"/>
      <c r="J64" s="1">
        <v>61</v>
      </c>
    </row>
    <row r="65" spans="4:10" x14ac:dyDescent="0.2">
      <c r="D65" s="2">
        <v>45972</v>
      </c>
      <c r="E65" s="3" t="s">
        <v>8</v>
      </c>
      <c r="F65" s="100" t="s">
        <v>42</v>
      </c>
      <c r="G65" s="6"/>
      <c r="H65" s="6" t="s">
        <v>192</v>
      </c>
      <c r="I65" s="6"/>
      <c r="J65" s="1">
        <v>184</v>
      </c>
    </row>
    <row r="66" spans="4:10" x14ac:dyDescent="0.2">
      <c r="D66" s="2">
        <v>45972</v>
      </c>
      <c r="E66" s="3" t="s">
        <v>9</v>
      </c>
      <c r="F66" s="100" t="s">
        <v>9</v>
      </c>
      <c r="G66" s="6"/>
      <c r="H66" s="6" t="s">
        <v>192</v>
      </c>
      <c r="I66" s="6"/>
      <c r="J66" s="1">
        <v>37</v>
      </c>
    </row>
    <row r="67" spans="4:10" x14ac:dyDescent="0.2">
      <c r="D67" s="2">
        <v>45972</v>
      </c>
      <c r="E67" s="3" t="s">
        <v>30</v>
      </c>
      <c r="F67" s="100" t="s">
        <v>18</v>
      </c>
      <c r="G67" s="6" t="s">
        <v>18</v>
      </c>
      <c r="H67" s="6" t="s">
        <v>192</v>
      </c>
      <c r="I67" s="6"/>
      <c r="J67" s="1">
        <v>25</v>
      </c>
    </row>
    <row r="68" spans="4:10" x14ac:dyDescent="0.2">
      <c r="D68" s="2">
        <v>45973</v>
      </c>
      <c r="E68" s="3" t="s">
        <v>40</v>
      </c>
      <c r="F68" s="100" t="s">
        <v>40</v>
      </c>
      <c r="G68" s="6"/>
      <c r="H68" s="6" t="s">
        <v>192</v>
      </c>
      <c r="I68" s="6"/>
      <c r="J68" s="1">
        <v>75</v>
      </c>
    </row>
    <row r="69" spans="4:10" x14ac:dyDescent="0.2">
      <c r="D69" s="2">
        <v>45973</v>
      </c>
      <c r="E69" s="3" t="s">
        <v>41</v>
      </c>
      <c r="F69" s="100" t="s">
        <v>41</v>
      </c>
      <c r="G69" s="6" t="s">
        <v>35</v>
      </c>
      <c r="H69" s="6" t="s">
        <v>192</v>
      </c>
      <c r="I69" s="6"/>
      <c r="J69" s="1">
        <v>125</v>
      </c>
    </row>
    <row r="70" spans="4:10" x14ac:dyDescent="0.2">
      <c r="D70" s="2">
        <v>45973</v>
      </c>
      <c r="E70" s="3" t="s">
        <v>42</v>
      </c>
      <c r="F70" s="100" t="s">
        <v>42</v>
      </c>
      <c r="G70" s="6"/>
      <c r="H70" s="6" t="s">
        <v>192</v>
      </c>
      <c r="I70" s="6"/>
      <c r="J70" s="1">
        <v>198</v>
      </c>
    </row>
    <row r="71" spans="4:10" x14ac:dyDescent="0.2">
      <c r="D71" s="2">
        <v>45973</v>
      </c>
      <c r="E71" s="3" t="s">
        <v>30</v>
      </c>
      <c r="F71" s="100" t="s">
        <v>18</v>
      </c>
      <c r="G71" s="6" t="s">
        <v>18</v>
      </c>
      <c r="H71" s="6" t="s">
        <v>192</v>
      </c>
      <c r="I71" s="6"/>
      <c r="J71" s="1">
        <v>25</v>
      </c>
    </row>
    <row r="72" spans="4:10" x14ac:dyDescent="0.2">
      <c r="D72" s="2">
        <v>45973</v>
      </c>
      <c r="E72" s="10" t="s">
        <v>22</v>
      </c>
      <c r="F72" s="100" t="s">
        <v>9</v>
      </c>
      <c r="G72" s="6"/>
      <c r="H72" s="6" t="s">
        <v>192</v>
      </c>
      <c r="I72" s="6"/>
      <c r="J72" s="1">
        <v>29</v>
      </c>
    </row>
    <row r="73" spans="4:10" x14ac:dyDescent="0.2">
      <c r="D73" s="2">
        <v>45974</v>
      </c>
      <c r="E73" s="10" t="s">
        <v>42</v>
      </c>
      <c r="F73" s="100" t="s">
        <v>42</v>
      </c>
      <c r="G73" s="6"/>
      <c r="H73" s="6" t="s">
        <v>192</v>
      </c>
      <c r="I73" s="9"/>
      <c r="J73" s="1">
        <v>170</v>
      </c>
    </row>
    <row r="74" spans="4:10" x14ac:dyDescent="0.2">
      <c r="D74" s="2">
        <v>45974</v>
      </c>
      <c r="E74" s="10" t="s">
        <v>21</v>
      </c>
      <c r="F74" s="100" t="s">
        <v>250</v>
      </c>
      <c r="G74" s="6"/>
      <c r="H74" s="6" t="s">
        <v>192</v>
      </c>
      <c r="I74" s="9"/>
      <c r="J74" s="1">
        <v>45</v>
      </c>
    </row>
    <row r="75" spans="4:10" x14ac:dyDescent="0.2">
      <c r="D75" s="2">
        <v>45974</v>
      </c>
      <c r="E75" s="10" t="s">
        <v>9</v>
      </c>
      <c r="F75" s="100" t="s">
        <v>9</v>
      </c>
      <c r="G75" s="6"/>
      <c r="H75" s="6" t="s">
        <v>192</v>
      </c>
      <c r="I75" s="9"/>
      <c r="J75" s="1">
        <v>114</v>
      </c>
    </row>
    <row r="76" spans="4:10" x14ac:dyDescent="0.2">
      <c r="D76" s="2">
        <v>45974</v>
      </c>
      <c r="E76" s="10" t="s">
        <v>30</v>
      </c>
      <c r="F76" s="100" t="s">
        <v>18</v>
      </c>
      <c r="G76" s="6" t="s">
        <v>18</v>
      </c>
      <c r="H76" s="6" t="s">
        <v>192</v>
      </c>
      <c r="I76" s="9"/>
      <c r="J76" s="1">
        <v>25</v>
      </c>
    </row>
    <row r="77" spans="4:10" x14ac:dyDescent="0.2">
      <c r="D77" s="2">
        <v>45974</v>
      </c>
      <c r="E77" s="100" t="s">
        <v>251</v>
      </c>
      <c r="F77" s="100" t="s">
        <v>249</v>
      </c>
      <c r="G77" s="6" t="s">
        <v>262</v>
      </c>
      <c r="H77" s="6" t="s">
        <v>192</v>
      </c>
      <c r="I77" s="9"/>
      <c r="J77" s="1">
        <v>1100</v>
      </c>
    </row>
    <row r="78" spans="4:10" x14ac:dyDescent="0.2">
      <c r="D78" s="2">
        <v>45975</v>
      </c>
      <c r="E78" s="11" t="s">
        <v>9</v>
      </c>
      <c r="F78" s="100" t="s">
        <v>9</v>
      </c>
      <c r="G78" s="6"/>
      <c r="H78" s="6" t="s">
        <v>192</v>
      </c>
      <c r="I78" s="9"/>
      <c r="J78" s="1">
        <v>76</v>
      </c>
    </row>
    <row r="79" spans="4:10" x14ac:dyDescent="0.2">
      <c r="D79" s="2">
        <v>45975</v>
      </c>
      <c r="E79" s="11" t="s">
        <v>21</v>
      </c>
      <c r="F79" s="100" t="s">
        <v>250</v>
      </c>
      <c r="G79" s="6"/>
      <c r="H79" s="6" t="s">
        <v>192</v>
      </c>
      <c r="I79" s="9"/>
      <c r="J79" s="1">
        <v>28</v>
      </c>
    </row>
    <row r="80" spans="4:10" x14ac:dyDescent="0.2">
      <c r="D80" s="2">
        <v>45976</v>
      </c>
      <c r="E80" s="23" t="s">
        <v>16</v>
      </c>
      <c r="F80" s="100" t="s">
        <v>16</v>
      </c>
      <c r="G80" s="6" t="s">
        <v>59</v>
      </c>
      <c r="H80" s="6" t="s">
        <v>192</v>
      </c>
      <c r="I80" s="9"/>
      <c r="J80" s="1">
        <v>500</v>
      </c>
    </row>
    <row r="81" spans="4:10" x14ac:dyDescent="0.2">
      <c r="D81" s="2">
        <v>45976</v>
      </c>
      <c r="E81" s="12" t="s">
        <v>27</v>
      </c>
      <c r="F81" s="100" t="s">
        <v>40</v>
      </c>
      <c r="G81" s="6"/>
      <c r="H81" s="6" t="s">
        <v>192</v>
      </c>
      <c r="I81" s="9"/>
      <c r="J81" s="1">
        <v>40</v>
      </c>
    </row>
    <row r="82" spans="4:10" x14ac:dyDescent="0.2">
      <c r="D82" s="2">
        <v>45976</v>
      </c>
      <c r="E82" s="12" t="s">
        <v>42</v>
      </c>
      <c r="F82" s="100" t="s">
        <v>42</v>
      </c>
      <c r="G82" s="6"/>
      <c r="H82" s="6" t="s">
        <v>192</v>
      </c>
      <c r="I82" s="9"/>
      <c r="J82" s="1">
        <v>184</v>
      </c>
    </row>
    <row r="83" spans="4:10" x14ac:dyDescent="0.2">
      <c r="D83" s="2">
        <v>45976</v>
      </c>
      <c r="E83" s="12" t="s">
        <v>44</v>
      </c>
      <c r="F83" s="100" t="s">
        <v>244</v>
      </c>
      <c r="G83" s="6"/>
      <c r="H83" s="6" t="s">
        <v>192</v>
      </c>
      <c r="I83" s="9"/>
      <c r="J83" s="1">
        <v>273</v>
      </c>
    </row>
    <row r="84" spans="4:10" x14ac:dyDescent="0.2">
      <c r="D84" s="2">
        <v>45976</v>
      </c>
      <c r="E84" s="12" t="s">
        <v>45</v>
      </c>
      <c r="F84" s="100" t="s">
        <v>244</v>
      </c>
      <c r="G84" s="6"/>
      <c r="H84" s="6" t="s">
        <v>192</v>
      </c>
      <c r="I84" s="9"/>
      <c r="J84" s="1">
        <v>205</v>
      </c>
    </row>
    <row r="85" spans="4:10" x14ac:dyDescent="0.2">
      <c r="D85" s="2">
        <v>45976</v>
      </c>
      <c r="E85" s="12" t="s">
        <v>9</v>
      </c>
      <c r="F85" s="100" t="s">
        <v>9</v>
      </c>
      <c r="G85" s="6"/>
      <c r="H85" s="6" t="s">
        <v>192</v>
      </c>
      <c r="I85" s="9"/>
      <c r="J85" s="1">
        <v>47</v>
      </c>
    </row>
    <row r="86" spans="4:10" x14ac:dyDescent="0.2">
      <c r="D86" s="2">
        <v>45977</v>
      </c>
      <c r="E86" s="13" t="s">
        <v>42</v>
      </c>
      <c r="F86" s="100" t="s">
        <v>42</v>
      </c>
      <c r="G86" s="6"/>
      <c r="H86" s="6" t="s">
        <v>192</v>
      </c>
      <c r="I86" s="9"/>
      <c r="J86" s="1">
        <v>184</v>
      </c>
    </row>
    <row r="87" spans="4:10" x14ac:dyDescent="0.2">
      <c r="D87" s="2">
        <v>45977</v>
      </c>
      <c r="E87" s="14" t="s">
        <v>48</v>
      </c>
      <c r="F87" s="100" t="s">
        <v>244</v>
      </c>
      <c r="G87" s="6"/>
      <c r="H87" s="6" t="s">
        <v>192</v>
      </c>
      <c r="I87" s="9"/>
      <c r="J87" s="1">
        <v>8</v>
      </c>
    </row>
    <row r="88" spans="4:10" x14ac:dyDescent="0.2">
      <c r="D88" s="2">
        <v>45977</v>
      </c>
      <c r="E88" s="13" t="s">
        <v>46</v>
      </c>
      <c r="F88" s="100" t="s">
        <v>244</v>
      </c>
      <c r="G88" s="6"/>
      <c r="H88" s="6" t="s">
        <v>192</v>
      </c>
      <c r="I88" s="9"/>
      <c r="J88" s="1">
        <v>465</v>
      </c>
    </row>
    <row r="89" spans="4:10" x14ac:dyDescent="0.2">
      <c r="D89" s="2">
        <v>45977</v>
      </c>
      <c r="E89" s="13" t="s">
        <v>47</v>
      </c>
      <c r="F89" s="100" t="s">
        <v>244</v>
      </c>
      <c r="G89" s="6"/>
      <c r="H89" s="6" t="s">
        <v>192</v>
      </c>
      <c r="I89" s="9"/>
      <c r="J89" s="1">
        <v>10</v>
      </c>
    </row>
    <row r="90" spans="4:10" x14ac:dyDescent="0.2">
      <c r="D90" s="2">
        <v>45977</v>
      </c>
      <c r="E90" s="13" t="s">
        <v>9</v>
      </c>
      <c r="F90" s="100" t="s">
        <v>9</v>
      </c>
      <c r="G90" s="6"/>
      <c r="H90" s="6" t="s">
        <v>192</v>
      </c>
      <c r="I90" s="9"/>
      <c r="J90" s="1">
        <v>78</v>
      </c>
    </row>
    <row r="91" spans="4:10" x14ac:dyDescent="0.2">
      <c r="D91" s="2">
        <v>45978</v>
      </c>
      <c r="E91" s="14" t="s">
        <v>42</v>
      </c>
      <c r="F91" s="100" t="s">
        <v>42</v>
      </c>
      <c r="G91" s="6"/>
      <c r="H91" s="6" t="s">
        <v>192</v>
      </c>
      <c r="I91" s="9"/>
      <c r="J91" s="1">
        <v>184</v>
      </c>
    </row>
    <row r="92" spans="4:10" x14ac:dyDescent="0.2">
      <c r="D92" s="2">
        <v>45978</v>
      </c>
      <c r="E92" s="14" t="s">
        <v>11</v>
      </c>
      <c r="F92" s="100" t="s">
        <v>81</v>
      </c>
      <c r="G92" s="6" t="s">
        <v>13</v>
      </c>
      <c r="H92" s="6" t="s">
        <v>192</v>
      </c>
      <c r="I92" s="9"/>
      <c r="J92" s="1">
        <v>94</v>
      </c>
    </row>
    <row r="93" spans="4:10" x14ac:dyDescent="0.2">
      <c r="D93" s="2">
        <v>45978</v>
      </c>
      <c r="E93" s="14" t="s">
        <v>9</v>
      </c>
      <c r="F93" s="100" t="s">
        <v>9</v>
      </c>
      <c r="G93" s="6"/>
      <c r="H93" s="6" t="s">
        <v>192</v>
      </c>
      <c r="I93" s="9"/>
      <c r="J93" s="1">
        <v>55.5</v>
      </c>
    </row>
    <row r="94" spans="4:10" x14ac:dyDescent="0.2">
      <c r="D94" s="2">
        <v>45978</v>
      </c>
      <c r="E94" s="15" t="s">
        <v>21</v>
      </c>
      <c r="F94" s="100" t="s">
        <v>250</v>
      </c>
      <c r="G94" s="6"/>
      <c r="H94" s="6" t="s">
        <v>192</v>
      </c>
      <c r="I94" s="9"/>
      <c r="J94" s="1">
        <v>22</v>
      </c>
    </row>
    <row r="95" spans="4:10" x14ac:dyDescent="0.2">
      <c r="D95" s="2">
        <v>45978</v>
      </c>
      <c r="E95" s="100" t="s">
        <v>252</v>
      </c>
      <c r="F95" s="100" t="s">
        <v>249</v>
      </c>
      <c r="G95" s="6" t="s">
        <v>276</v>
      </c>
      <c r="H95" s="6" t="s">
        <v>192</v>
      </c>
      <c r="I95" s="9"/>
      <c r="J95" s="1">
        <v>2200</v>
      </c>
    </row>
    <row r="96" spans="4:10" x14ac:dyDescent="0.2">
      <c r="D96" s="2">
        <v>45978</v>
      </c>
      <c r="E96" s="100" t="s">
        <v>252</v>
      </c>
      <c r="F96" s="100" t="s">
        <v>249</v>
      </c>
      <c r="G96" s="6" t="s">
        <v>259</v>
      </c>
      <c r="H96" s="6" t="s">
        <v>192</v>
      </c>
      <c r="I96" s="9"/>
      <c r="J96" s="1">
        <v>1200</v>
      </c>
    </row>
    <row r="97" spans="4:10" x14ac:dyDescent="0.2">
      <c r="D97" s="2">
        <v>45978</v>
      </c>
      <c r="E97" s="14" t="s">
        <v>19</v>
      </c>
      <c r="F97" s="100" t="s">
        <v>241</v>
      </c>
      <c r="G97" s="6"/>
      <c r="H97" s="6" t="s">
        <v>192</v>
      </c>
      <c r="I97" s="9"/>
      <c r="J97" s="1">
        <v>500</v>
      </c>
    </row>
    <row r="98" spans="4:10" x14ac:dyDescent="0.2">
      <c r="D98" s="2">
        <v>45978</v>
      </c>
      <c r="E98" s="100" t="s">
        <v>90</v>
      </c>
      <c r="F98" s="6" t="s">
        <v>18</v>
      </c>
      <c r="G98" s="6" t="s">
        <v>258</v>
      </c>
      <c r="H98" s="6" t="s">
        <v>192</v>
      </c>
      <c r="I98" s="9"/>
      <c r="J98" s="1">
        <v>5000</v>
      </c>
    </row>
    <row r="99" spans="4:10" x14ac:dyDescent="0.2">
      <c r="D99" s="2">
        <v>45979</v>
      </c>
      <c r="E99" s="15" t="s">
        <v>42</v>
      </c>
      <c r="F99" s="100" t="s">
        <v>42</v>
      </c>
      <c r="G99" s="6"/>
      <c r="H99" s="6" t="s">
        <v>192</v>
      </c>
      <c r="I99" s="9"/>
      <c r="J99" s="1">
        <v>184</v>
      </c>
    </row>
    <row r="100" spans="4:10" x14ac:dyDescent="0.2">
      <c r="D100" s="2">
        <v>45979</v>
      </c>
      <c r="E100" s="15" t="s">
        <v>49</v>
      </c>
      <c r="F100" s="100" t="s">
        <v>126</v>
      </c>
      <c r="G100" s="6"/>
      <c r="H100" s="6" t="s">
        <v>192</v>
      </c>
      <c r="I100" s="9"/>
      <c r="J100" s="1">
        <v>20</v>
      </c>
    </row>
    <row r="101" spans="4:10" x14ac:dyDescent="0.2">
      <c r="D101" s="2">
        <v>45979</v>
      </c>
      <c r="E101" s="15" t="s">
        <v>50</v>
      </c>
      <c r="F101" s="100" t="s">
        <v>241</v>
      </c>
      <c r="G101" s="6"/>
      <c r="H101" s="6" t="s">
        <v>192</v>
      </c>
      <c r="I101" s="9"/>
      <c r="J101" s="1">
        <v>258.5</v>
      </c>
    </row>
    <row r="102" spans="4:10" x14ac:dyDescent="0.2">
      <c r="D102" s="2">
        <v>45979</v>
      </c>
      <c r="E102" s="15" t="s">
        <v>51</v>
      </c>
      <c r="F102" s="100" t="s">
        <v>244</v>
      </c>
      <c r="G102" s="6"/>
      <c r="H102" s="6" t="s">
        <v>192</v>
      </c>
      <c r="I102" s="9"/>
      <c r="J102" s="1">
        <v>47</v>
      </c>
    </row>
    <row r="103" spans="4:10" x14ac:dyDescent="0.2">
      <c r="D103" s="2">
        <v>45979</v>
      </c>
      <c r="E103" s="15" t="s">
        <v>22</v>
      </c>
      <c r="F103" s="100" t="s">
        <v>9</v>
      </c>
      <c r="G103" s="6"/>
      <c r="H103" s="6" t="s">
        <v>192</v>
      </c>
      <c r="I103" s="9"/>
      <c r="J103" s="1">
        <v>124</v>
      </c>
    </row>
    <row r="104" spans="4:10" x14ac:dyDescent="0.2">
      <c r="D104" s="2">
        <v>45979</v>
      </c>
      <c r="E104" s="15" t="s">
        <v>52</v>
      </c>
      <c r="F104" s="100" t="s">
        <v>18</v>
      </c>
      <c r="G104" s="6" t="s">
        <v>18</v>
      </c>
      <c r="H104" s="6" t="s">
        <v>192</v>
      </c>
      <c r="I104" s="9"/>
      <c r="J104" s="1">
        <v>100</v>
      </c>
    </row>
    <row r="105" spans="4:10" x14ac:dyDescent="0.2">
      <c r="D105" s="2">
        <v>45979</v>
      </c>
      <c r="E105" s="15" t="s">
        <v>16</v>
      </c>
      <c r="F105" s="100" t="s">
        <v>16</v>
      </c>
      <c r="G105" s="6" t="s">
        <v>59</v>
      </c>
      <c r="H105" s="6" t="s">
        <v>192</v>
      </c>
      <c r="I105" s="9"/>
      <c r="J105" s="1">
        <v>200</v>
      </c>
    </row>
    <row r="106" spans="4:10" x14ac:dyDescent="0.2">
      <c r="D106" s="2">
        <v>45980</v>
      </c>
      <c r="E106" s="16" t="s">
        <v>42</v>
      </c>
      <c r="F106" s="100" t="s">
        <v>42</v>
      </c>
      <c r="G106" s="6"/>
      <c r="H106" s="6" t="s">
        <v>192</v>
      </c>
      <c r="I106" s="9"/>
      <c r="J106" s="1">
        <v>184</v>
      </c>
    </row>
    <row r="107" spans="4:10" x14ac:dyDescent="0.2">
      <c r="D107" s="2">
        <v>45980</v>
      </c>
      <c r="E107" s="16" t="s">
        <v>53</v>
      </c>
      <c r="F107" s="100" t="s">
        <v>244</v>
      </c>
      <c r="G107" s="6"/>
      <c r="H107" s="6" t="s">
        <v>192</v>
      </c>
      <c r="I107" s="9"/>
      <c r="J107" s="1">
        <v>330</v>
      </c>
    </row>
    <row r="108" spans="4:10" x14ac:dyDescent="0.2">
      <c r="D108" s="2">
        <v>45980</v>
      </c>
      <c r="E108" s="16" t="s">
        <v>54</v>
      </c>
      <c r="F108" s="100" t="s">
        <v>126</v>
      </c>
      <c r="G108" s="6"/>
      <c r="H108" s="6" t="s">
        <v>192</v>
      </c>
      <c r="I108" s="9"/>
      <c r="J108" s="1">
        <v>7.5</v>
      </c>
    </row>
    <row r="109" spans="4:10" x14ac:dyDescent="0.2">
      <c r="D109" s="2">
        <v>45980</v>
      </c>
      <c r="E109" s="16" t="s">
        <v>40</v>
      </c>
      <c r="F109" s="100" t="s">
        <v>40</v>
      </c>
      <c r="G109" s="6"/>
      <c r="H109" s="6" t="s">
        <v>192</v>
      </c>
      <c r="I109" s="9"/>
      <c r="J109" s="1">
        <v>42</v>
      </c>
    </row>
    <row r="110" spans="4:10" x14ac:dyDescent="0.2">
      <c r="D110" s="2">
        <v>45980</v>
      </c>
      <c r="E110" s="16" t="s">
        <v>41</v>
      </c>
      <c r="F110" s="100" t="s">
        <v>41</v>
      </c>
      <c r="G110" s="6"/>
      <c r="H110" s="6" t="s">
        <v>192</v>
      </c>
      <c r="I110" s="9"/>
      <c r="J110" s="1">
        <v>64.5</v>
      </c>
    </row>
    <row r="111" spans="4:10" x14ac:dyDescent="0.2">
      <c r="D111" s="2">
        <v>45980</v>
      </c>
      <c r="E111" s="16" t="s">
        <v>55</v>
      </c>
      <c r="F111" s="100" t="s">
        <v>244</v>
      </c>
      <c r="G111" s="6"/>
      <c r="H111" s="6" t="s">
        <v>192</v>
      </c>
      <c r="I111" s="9"/>
      <c r="J111" s="1">
        <v>14</v>
      </c>
    </row>
    <row r="112" spans="4:10" x14ac:dyDescent="0.2">
      <c r="D112" s="2">
        <v>45980</v>
      </c>
      <c r="E112" s="16" t="s">
        <v>9</v>
      </c>
      <c r="F112" s="100" t="s">
        <v>9</v>
      </c>
      <c r="G112" s="6"/>
      <c r="H112" s="6" t="s">
        <v>192</v>
      </c>
      <c r="I112" s="9"/>
      <c r="J112" s="1">
        <v>50</v>
      </c>
    </row>
    <row r="113" spans="4:10" x14ac:dyDescent="0.2">
      <c r="D113" s="2">
        <v>45981</v>
      </c>
      <c r="E113" s="17" t="s">
        <v>42</v>
      </c>
      <c r="F113" s="100" t="s">
        <v>42</v>
      </c>
      <c r="G113" s="6"/>
      <c r="H113" s="6" t="s">
        <v>192</v>
      </c>
      <c r="I113" s="9"/>
      <c r="J113" s="1">
        <v>182</v>
      </c>
    </row>
    <row r="114" spans="4:10" x14ac:dyDescent="0.2">
      <c r="D114" s="2">
        <v>45981</v>
      </c>
      <c r="E114" s="17" t="s">
        <v>22</v>
      </c>
      <c r="F114" s="100" t="s">
        <v>9</v>
      </c>
      <c r="G114" s="6"/>
      <c r="H114" s="6" t="s">
        <v>192</v>
      </c>
      <c r="I114" s="9"/>
      <c r="J114" s="1">
        <v>44</v>
      </c>
    </row>
    <row r="115" spans="4:10" x14ac:dyDescent="0.2">
      <c r="D115" s="2">
        <v>45981</v>
      </c>
      <c r="E115" s="100" t="s">
        <v>251</v>
      </c>
      <c r="F115" s="100" t="s">
        <v>249</v>
      </c>
      <c r="G115" s="6" t="s">
        <v>277</v>
      </c>
      <c r="H115" s="6" t="s">
        <v>192</v>
      </c>
      <c r="I115" s="9"/>
      <c r="J115" s="1">
        <v>2280</v>
      </c>
    </row>
    <row r="116" spans="4:10" x14ac:dyDescent="0.2">
      <c r="D116" s="2">
        <v>45981</v>
      </c>
      <c r="E116" s="100" t="s">
        <v>251</v>
      </c>
      <c r="F116" s="100" t="s">
        <v>249</v>
      </c>
      <c r="G116" s="6" t="s">
        <v>260</v>
      </c>
      <c r="H116" s="6" t="s">
        <v>192</v>
      </c>
      <c r="I116" s="9"/>
      <c r="J116" s="1">
        <v>1360</v>
      </c>
    </row>
    <row r="117" spans="4:10" x14ac:dyDescent="0.2">
      <c r="D117" s="2">
        <v>45981</v>
      </c>
      <c r="E117" s="21" t="s">
        <v>71</v>
      </c>
      <c r="F117" s="100" t="s">
        <v>16</v>
      </c>
      <c r="G117" s="6" t="s">
        <v>72</v>
      </c>
      <c r="H117" s="6" t="s">
        <v>192</v>
      </c>
      <c r="I117" s="9"/>
      <c r="J117" s="1">
        <v>600</v>
      </c>
    </row>
    <row r="118" spans="4:10" x14ac:dyDescent="0.2">
      <c r="D118" s="2">
        <v>45982</v>
      </c>
      <c r="E118" s="17" t="s">
        <v>42</v>
      </c>
      <c r="F118" s="100" t="s">
        <v>42</v>
      </c>
      <c r="G118" s="6"/>
      <c r="H118" s="6" t="s">
        <v>192</v>
      </c>
      <c r="I118" s="9"/>
      <c r="J118" s="1">
        <v>76</v>
      </c>
    </row>
    <row r="119" spans="4:10" x14ac:dyDescent="0.2">
      <c r="D119" s="2">
        <v>45982</v>
      </c>
      <c r="E119" s="17" t="s">
        <v>52</v>
      </c>
      <c r="F119" s="100" t="s">
        <v>18</v>
      </c>
      <c r="G119" s="6" t="s">
        <v>18</v>
      </c>
      <c r="H119" s="6" t="s">
        <v>192</v>
      </c>
      <c r="I119" s="9"/>
      <c r="J119" s="1">
        <v>100</v>
      </c>
    </row>
    <row r="120" spans="4:10" x14ac:dyDescent="0.2">
      <c r="D120" s="2">
        <v>45982</v>
      </c>
      <c r="E120" s="17" t="s">
        <v>57</v>
      </c>
      <c r="F120" s="100" t="s">
        <v>250</v>
      </c>
      <c r="G120" s="6"/>
      <c r="H120" s="6" t="s">
        <v>192</v>
      </c>
      <c r="I120" s="9"/>
      <c r="J120" s="1">
        <v>13.5</v>
      </c>
    </row>
    <row r="121" spans="4:10" x14ac:dyDescent="0.2">
      <c r="D121" s="2">
        <v>45982</v>
      </c>
      <c r="E121" s="17" t="s">
        <v>58</v>
      </c>
      <c r="F121" s="100" t="s">
        <v>241</v>
      </c>
      <c r="G121" s="6"/>
      <c r="H121" s="6" t="s">
        <v>192</v>
      </c>
      <c r="I121" s="9"/>
      <c r="J121" s="1">
        <v>17</v>
      </c>
    </row>
    <row r="122" spans="4:10" x14ac:dyDescent="0.2">
      <c r="D122" s="2">
        <v>45982</v>
      </c>
      <c r="E122" s="17" t="s">
        <v>16</v>
      </c>
      <c r="F122" s="100" t="s">
        <v>16</v>
      </c>
      <c r="G122" s="6" t="s">
        <v>59</v>
      </c>
      <c r="H122" s="6" t="s">
        <v>192</v>
      </c>
      <c r="I122" s="9"/>
      <c r="J122" s="1">
        <v>500</v>
      </c>
    </row>
    <row r="123" spans="4:10" x14ac:dyDescent="0.2">
      <c r="D123" s="2">
        <v>45983</v>
      </c>
      <c r="E123" s="18" t="s">
        <v>42</v>
      </c>
      <c r="F123" s="100" t="s">
        <v>42</v>
      </c>
      <c r="G123" s="6"/>
      <c r="H123" s="6" t="s">
        <v>192</v>
      </c>
      <c r="I123" s="9"/>
      <c r="J123" s="1">
        <v>184</v>
      </c>
    </row>
    <row r="124" spans="4:10" x14ac:dyDescent="0.2">
      <c r="D124" s="2">
        <v>45983</v>
      </c>
      <c r="E124" s="18" t="s">
        <v>60</v>
      </c>
      <c r="F124" s="100" t="s">
        <v>241</v>
      </c>
      <c r="G124" s="6"/>
      <c r="H124" s="6" t="s">
        <v>192</v>
      </c>
      <c r="I124" s="9"/>
      <c r="J124" s="1">
        <v>22</v>
      </c>
    </row>
    <row r="125" spans="4:10" x14ac:dyDescent="0.2">
      <c r="D125" s="2">
        <v>45983</v>
      </c>
      <c r="E125" s="18" t="s">
        <v>61</v>
      </c>
      <c r="F125" s="100" t="s">
        <v>126</v>
      </c>
      <c r="G125" s="6"/>
      <c r="H125" s="6" t="s">
        <v>192</v>
      </c>
      <c r="I125" s="9"/>
      <c r="J125" s="1">
        <v>25</v>
      </c>
    </row>
    <row r="126" spans="4:10" x14ac:dyDescent="0.2">
      <c r="D126" s="2">
        <v>45983</v>
      </c>
      <c r="E126" s="18" t="s">
        <v>40</v>
      </c>
      <c r="F126" s="100" t="s">
        <v>40</v>
      </c>
      <c r="G126" s="6"/>
      <c r="H126" s="6" t="s">
        <v>192</v>
      </c>
      <c r="I126" s="9"/>
      <c r="J126" s="1">
        <v>45</v>
      </c>
    </row>
    <row r="127" spans="4:10" x14ac:dyDescent="0.2">
      <c r="D127" s="2">
        <v>45983</v>
      </c>
      <c r="E127" s="18" t="s">
        <v>56</v>
      </c>
      <c r="F127" s="100" t="s">
        <v>42</v>
      </c>
      <c r="G127" s="6"/>
      <c r="H127" s="6"/>
      <c r="I127" s="9"/>
      <c r="J127" s="1">
        <v>47.5</v>
      </c>
    </row>
    <row r="128" spans="4:10" x14ac:dyDescent="0.2">
      <c r="D128" s="2">
        <v>45983</v>
      </c>
      <c r="E128" s="18" t="s">
        <v>9</v>
      </c>
      <c r="F128" s="100" t="s">
        <v>9</v>
      </c>
      <c r="G128" s="6"/>
      <c r="H128" s="6" t="s">
        <v>192</v>
      </c>
      <c r="I128" s="9"/>
      <c r="J128" s="1">
        <v>60</v>
      </c>
    </row>
    <row r="129" spans="4:10" x14ac:dyDescent="0.2">
      <c r="D129" s="2">
        <v>45983</v>
      </c>
      <c r="E129" s="18" t="s">
        <v>41</v>
      </c>
      <c r="F129" s="100" t="s">
        <v>41</v>
      </c>
      <c r="G129" s="6"/>
      <c r="H129" s="6" t="s">
        <v>192</v>
      </c>
      <c r="I129" s="9"/>
      <c r="J129" s="1">
        <v>85</v>
      </c>
    </row>
    <row r="130" spans="4:10" x14ac:dyDescent="0.2">
      <c r="D130" s="2">
        <v>45983</v>
      </c>
      <c r="E130" s="18" t="s">
        <v>11</v>
      </c>
      <c r="F130" s="100" t="s">
        <v>81</v>
      </c>
      <c r="G130" s="6" t="s">
        <v>13</v>
      </c>
      <c r="H130" s="6" t="s">
        <v>192</v>
      </c>
      <c r="I130" s="9"/>
      <c r="J130" s="1">
        <v>50</v>
      </c>
    </row>
    <row r="131" spans="4:10" x14ac:dyDescent="0.2">
      <c r="D131" s="2">
        <v>45983</v>
      </c>
      <c r="E131" s="18" t="s">
        <v>62</v>
      </c>
      <c r="F131" s="100" t="s">
        <v>41</v>
      </c>
      <c r="G131" s="6"/>
      <c r="H131" s="6" t="s">
        <v>192</v>
      </c>
      <c r="I131" s="9"/>
      <c r="J131" s="1">
        <v>64.5</v>
      </c>
    </row>
    <row r="132" spans="4:10" x14ac:dyDescent="0.2">
      <c r="D132" s="2">
        <v>45983</v>
      </c>
      <c r="E132" s="18" t="s">
        <v>27</v>
      </c>
      <c r="F132" s="100" t="s">
        <v>40</v>
      </c>
      <c r="G132" s="6"/>
      <c r="H132" s="6" t="s">
        <v>192</v>
      </c>
      <c r="I132" s="9"/>
      <c r="J132" s="1">
        <v>45</v>
      </c>
    </row>
    <row r="133" spans="4:10" x14ac:dyDescent="0.2">
      <c r="D133" s="2">
        <v>45983</v>
      </c>
      <c r="E133" s="18" t="s">
        <v>63</v>
      </c>
      <c r="F133" s="100" t="s">
        <v>241</v>
      </c>
      <c r="G133" s="6"/>
      <c r="H133" s="6" t="s">
        <v>192</v>
      </c>
      <c r="I133" s="9"/>
      <c r="J133" s="1">
        <v>350</v>
      </c>
    </row>
    <row r="134" spans="4:10" x14ac:dyDescent="0.2">
      <c r="D134" s="2">
        <v>45983</v>
      </c>
      <c r="E134" s="18" t="s">
        <v>32</v>
      </c>
      <c r="F134" s="100" t="s">
        <v>16</v>
      </c>
      <c r="G134" s="6"/>
      <c r="H134" s="6" t="s">
        <v>192</v>
      </c>
      <c r="I134" s="9"/>
      <c r="J134" s="1">
        <v>100</v>
      </c>
    </row>
    <row r="135" spans="4:10" x14ac:dyDescent="0.2">
      <c r="D135" s="2">
        <v>45984</v>
      </c>
      <c r="E135" s="18" t="s">
        <v>42</v>
      </c>
      <c r="F135" s="100" t="s">
        <v>42</v>
      </c>
      <c r="G135" s="6"/>
      <c r="H135" s="6" t="s">
        <v>192</v>
      </c>
      <c r="I135" s="9"/>
      <c r="J135" s="1">
        <v>108</v>
      </c>
    </row>
    <row r="136" spans="4:10" x14ac:dyDescent="0.2">
      <c r="D136" s="2">
        <v>45984</v>
      </c>
      <c r="E136" s="18" t="s">
        <v>9</v>
      </c>
      <c r="F136" s="100" t="s">
        <v>9</v>
      </c>
      <c r="G136" s="6"/>
      <c r="H136" s="6" t="s">
        <v>192</v>
      </c>
      <c r="I136" s="9"/>
      <c r="J136" s="1">
        <v>91.5</v>
      </c>
    </row>
    <row r="137" spans="4:10" x14ac:dyDescent="0.2">
      <c r="D137" s="2">
        <v>45985</v>
      </c>
      <c r="E137" s="22" t="s">
        <v>11</v>
      </c>
      <c r="F137" s="100" t="s">
        <v>81</v>
      </c>
      <c r="G137" s="6" t="s">
        <v>263</v>
      </c>
      <c r="H137" s="6" t="s">
        <v>192</v>
      </c>
      <c r="I137" s="9"/>
      <c r="J137" s="1">
        <v>500</v>
      </c>
    </row>
    <row r="138" spans="4:10" x14ac:dyDescent="0.2">
      <c r="D138" s="2">
        <v>45985</v>
      </c>
      <c r="E138" s="19" t="s">
        <v>42</v>
      </c>
      <c r="F138" s="100" t="s">
        <v>42</v>
      </c>
      <c r="G138" s="6"/>
      <c r="H138" s="6" t="s">
        <v>192</v>
      </c>
      <c r="I138" s="9"/>
      <c r="J138" s="1">
        <v>108</v>
      </c>
    </row>
    <row r="139" spans="4:10" x14ac:dyDescent="0.2">
      <c r="D139" s="2">
        <v>45985</v>
      </c>
      <c r="E139" s="19" t="s">
        <v>30</v>
      </c>
      <c r="F139" s="100" t="s">
        <v>18</v>
      </c>
      <c r="G139" s="6" t="s">
        <v>18</v>
      </c>
      <c r="H139" s="6" t="s">
        <v>192</v>
      </c>
      <c r="I139" s="9"/>
      <c r="J139" s="1">
        <v>50</v>
      </c>
    </row>
    <row r="140" spans="4:10" x14ac:dyDescent="0.2">
      <c r="D140" s="2">
        <v>45985</v>
      </c>
      <c r="E140" s="19" t="s">
        <v>32</v>
      </c>
      <c r="F140" s="100" t="s">
        <v>16</v>
      </c>
      <c r="G140" s="6"/>
      <c r="H140" s="6" t="s">
        <v>192</v>
      </c>
      <c r="I140" s="9"/>
      <c r="J140" s="1">
        <v>100</v>
      </c>
    </row>
    <row r="141" spans="4:10" x14ac:dyDescent="0.2">
      <c r="D141" s="2">
        <v>45985</v>
      </c>
      <c r="E141" s="100" t="s">
        <v>90</v>
      </c>
      <c r="F141" s="6" t="s">
        <v>18</v>
      </c>
      <c r="G141" s="6" t="s">
        <v>258</v>
      </c>
      <c r="H141" s="6" t="s">
        <v>192</v>
      </c>
      <c r="I141" s="9"/>
      <c r="J141" s="1">
        <v>3000</v>
      </c>
    </row>
    <row r="142" spans="4:10" x14ac:dyDescent="0.2">
      <c r="D142" s="2">
        <v>45986</v>
      </c>
      <c r="E142" s="19" t="s">
        <v>42</v>
      </c>
      <c r="F142" s="100" t="s">
        <v>42</v>
      </c>
      <c r="G142" s="6"/>
      <c r="H142" s="6" t="s">
        <v>192</v>
      </c>
      <c r="I142" s="9"/>
      <c r="J142" s="1">
        <v>108</v>
      </c>
    </row>
    <row r="143" spans="4:10" x14ac:dyDescent="0.2">
      <c r="D143" s="2">
        <v>45986</v>
      </c>
      <c r="E143" s="19" t="s">
        <v>64</v>
      </c>
      <c r="F143" s="100" t="s">
        <v>126</v>
      </c>
      <c r="G143" s="6"/>
      <c r="H143" s="6" t="s">
        <v>192</v>
      </c>
      <c r="I143" s="9"/>
      <c r="J143" s="1">
        <v>13</v>
      </c>
    </row>
    <row r="144" spans="4:10" x14ac:dyDescent="0.2">
      <c r="D144" s="2">
        <v>45986</v>
      </c>
      <c r="E144" s="19" t="s">
        <v>9</v>
      </c>
      <c r="F144" s="100" t="s">
        <v>9</v>
      </c>
      <c r="G144" s="6"/>
      <c r="H144" s="6" t="s">
        <v>192</v>
      </c>
      <c r="I144" s="9"/>
      <c r="J144" s="1">
        <v>90</v>
      </c>
    </row>
    <row r="145" spans="4:10" x14ac:dyDescent="0.2">
      <c r="D145" s="2">
        <v>45986</v>
      </c>
      <c r="E145" s="19" t="s">
        <v>21</v>
      </c>
      <c r="F145" s="100" t="s">
        <v>250</v>
      </c>
      <c r="G145" s="6"/>
      <c r="H145" s="6" t="s">
        <v>192</v>
      </c>
      <c r="I145" s="9"/>
      <c r="J145" s="1">
        <v>67</v>
      </c>
    </row>
    <row r="146" spans="4:10" x14ac:dyDescent="0.2">
      <c r="D146" s="2">
        <v>45986</v>
      </c>
      <c r="E146" s="19" t="s">
        <v>30</v>
      </c>
      <c r="F146" s="100" t="s">
        <v>18</v>
      </c>
      <c r="G146" s="6" t="s">
        <v>18</v>
      </c>
      <c r="H146" s="6" t="s">
        <v>192</v>
      </c>
      <c r="I146" s="9"/>
      <c r="J146" s="1">
        <v>50</v>
      </c>
    </row>
    <row r="147" spans="4:10" x14ac:dyDescent="0.2">
      <c r="D147" s="2">
        <v>45987</v>
      </c>
      <c r="E147" s="20" t="s">
        <v>42</v>
      </c>
      <c r="F147" s="100" t="s">
        <v>42</v>
      </c>
      <c r="G147" s="6"/>
      <c r="H147" s="6" t="s">
        <v>192</v>
      </c>
      <c r="I147" s="9"/>
      <c r="J147" s="1">
        <v>164</v>
      </c>
    </row>
    <row r="148" spans="4:10" x14ac:dyDescent="0.2">
      <c r="D148" s="2">
        <v>45987</v>
      </c>
      <c r="E148" s="20" t="s">
        <v>65</v>
      </c>
      <c r="F148" s="100" t="s">
        <v>244</v>
      </c>
      <c r="G148" s="6"/>
      <c r="H148" s="6" t="s">
        <v>192</v>
      </c>
      <c r="I148" s="9"/>
      <c r="J148" s="1">
        <v>89</v>
      </c>
    </row>
    <row r="149" spans="4:10" x14ac:dyDescent="0.2">
      <c r="D149" s="2">
        <v>45987</v>
      </c>
      <c r="E149" s="100" t="s">
        <v>8</v>
      </c>
      <c r="F149" s="100" t="s">
        <v>42</v>
      </c>
      <c r="G149" s="6"/>
      <c r="H149" s="6" t="s">
        <v>192</v>
      </c>
      <c r="I149" s="9"/>
      <c r="J149" s="1">
        <v>35</v>
      </c>
    </row>
    <row r="150" spans="4:10" x14ac:dyDescent="0.2">
      <c r="D150" s="2">
        <v>45987</v>
      </c>
      <c r="E150" s="20" t="s">
        <v>22</v>
      </c>
      <c r="F150" s="100" t="s">
        <v>9</v>
      </c>
      <c r="G150" s="6"/>
      <c r="H150" s="6" t="s">
        <v>192</v>
      </c>
      <c r="I150" s="9"/>
      <c r="J150" s="1">
        <v>66.5</v>
      </c>
    </row>
    <row r="151" spans="4:10" x14ac:dyDescent="0.2">
      <c r="D151" s="2">
        <v>45987</v>
      </c>
      <c r="E151" s="21" t="s">
        <v>71</v>
      </c>
      <c r="F151" s="100" t="s">
        <v>16</v>
      </c>
      <c r="G151" s="6" t="s">
        <v>73</v>
      </c>
      <c r="H151" s="6" t="s">
        <v>192</v>
      </c>
      <c r="I151" s="9"/>
      <c r="J151" s="1">
        <v>1700</v>
      </c>
    </row>
    <row r="152" spans="4:10" x14ac:dyDescent="0.2">
      <c r="D152" s="2">
        <v>45987</v>
      </c>
      <c r="E152" s="20" t="s">
        <v>66</v>
      </c>
      <c r="F152" s="100" t="s">
        <v>222</v>
      </c>
      <c r="G152" s="6"/>
      <c r="H152" s="6" t="s">
        <v>192</v>
      </c>
      <c r="I152" s="9"/>
      <c r="J152" s="1">
        <v>250</v>
      </c>
    </row>
    <row r="153" spans="4:10" x14ac:dyDescent="0.2">
      <c r="D153" s="2">
        <v>45987</v>
      </c>
      <c r="E153" s="20" t="s">
        <v>67</v>
      </c>
      <c r="F153" s="100" t="s">
        <v>244</v>
      </c>
      <c r="G153" s="6"/>
      <c r="H153" s="6" t="s">
        <v>192</v>
      </c>
      <c r="I153" s="9"/>
      <c r="J153" s="1">
        <v>47.5</v>
      </c>
    </row>
    <row r="154" spans="4:10" x14ac:dyDescent="0.2">
      <c r="D154" s="2">
        <v>45987</v>
      </c>
      <c r="E154" s="20" t="s">
        <v>10</v>
      </c>
      <c r="F154" s="100" t="s">
        <v>244</v>
      </c>
      <c r="G154" s="6"/>
      <c r="H154" s="6" t="s">
        <v>192</v>
      </c>
      <c r="I154" s="9"/>
      <c r="J154" s="1">
        <v>126</v>
      </c>
    </row>
    <row r="155" spans="4:10" x14ac:dyDescent="0.2">
      <c r="D155" s="2">
        <v>45987</v>
      </c>
      <c r="E155" s="20" t="s">
        <v>10</v>
      </c>
      <c r="F155" s="100" t="s">
        <v>244</v>
      </c>
      <c r="G155" s="6"/>
      <c r="H155" s="6" t="s">
        <v>192</v>
      </c>
      <c r="I155" s="9"/>
      <c r="J155" s="1">
        <v>54.5</v>
      </c>
    </row>
    <row r="156" spans="4:10" x14ac:dyDescent="0.2">
      <c r="D156" s="2">
        <v>45987</v>
      </c>
      <c r="E156" s="20" t="s">
        <v>10</v>
      </c>
      <c r="F156" s="100" t="s">
        <v>244</v>
      </c>
      <c r="G156" s="6"/>
      <c r="H156" s="6" t="s">
        <v>192</v>
      </c>
      <c r="I156" s="9"/>
      <c r="J156" s="1">
        <v>204</v>
      </c>
    </row>
    <row r="157" spans="4:10" x14ac:dyDescent="0.2">
      <c r="D157" s="2">
        <v>45988</v>
      </c>
      <c r="E157" s="20" t="s">
        <v>42</v>
      </c>
      <c r="F157" s="100" t="s">
        <v>42</v>
      </c>
      <c r="G157" s="6"/>
      <c r="H157" s="6" t="s">
        <v>192</v>
      </c>
      <c r="I157" s="9"/>
      <c r="J157" s="1">
        <v>150</v>
      </c>
    </row>
    <row r="158" spans="4:10" x14ac:dyDescent="0.2">
      <c r="D158" s="2">
        <v>45988</v>
      </c>
      <c r="E158" s="20" t="s">
        <v>68</v>
      </c>
      <c r="F158" s="100" t="s">
        <v>126</v>
      </c>
      <c r="G158" s="6"/>
      <c r="H158" s="6" t="s">
        <v>192</v>
      </c>
      <c r="I158" s="9"/>
      <c r="J158" s="1">
        <v>29.5</v>
      </c>
    </row>
    <row r="159" spans="4:10" x14ac:dyDescent="0.2">
      <c r="D159" s="2">
        <v>45988</v>
      </c>
      <c r="E159" s="20" t="s">
        <v>10</v>
      </c>
      <c r="F159" s="100" t="s">
        <v>244</v>
      </c>
      <c r="G159" s="6"/>
      <c r="H159" s="6" t="s">
        <v>192</v>
      </c>
      <c r="I159" s="9"/>
      <c r="J159" s="1">
        <v>67</v>
      </c>
    </row>
    <row r="160" spans="4:10" x14ac:dyDescent="0.2">
      <c r="D160" s="2">
        <v>45988</v>
      </c>
      <c r="E160" s="20" t="s">
        <v>9</v>
      </c>
      <c r="F160" s="100" t="s">
        <v>9</v>
      </c>
      <c r="G160" s="6"/>
      <c r="H160" s="6" t="s">
        <v>192</v>
      </c>
      <c r="I160" s="9"/>
      <c r="J160" s="1">
        <v>36</v>
      </c>
    </row>
    <row r="161" spans="4:10" x14ac:dyDescent="0.2">
      <c r="D161" s="2">
        <v>45988</v>
      </c>
      <c r="E161" s="100" t="s">
        <v>90</v>
      </c>
      <c r="F161" s="6" t="s">
        <v>18</v>
      </c>
      <c r="G161" s="6" t="s">
        <v>258</v>
      </c>
      <c r="H161" s="6" t="s">
        <v>192</v>
      </c>
      <c r="I161" s="9"/>
      <c r="J161" s="1">
        <v>4000</v>
      </c>
    </row>
    <row r="162" spans="4:10" x14ac:dyDescent="0.2">
      <c r="D162" s="2">
        <v>45989</v>
      </c>
      <c r="E162" s="21" t="s">
        <v>42</v>
      </c>
      <c r="F162" s="100" t="s">
        <v>42</v>
      </c>
      <c r="G162" s="6"/>
      <c r="H162" s="6" t="s">
        <v>192</v>
      </c>
      <c r="I162" s="9"/>
      <c r="J162" s="1">
        <v>150</v>
      </c>
    </row>
    <row r="163" spans="4:10" x14ac:dyDescent="0.2">
      <c r="D163" s="2">
        <v>45989</v>
      </c>
      <c r="E163" s="21" t="s">
        <v>69</v>
      </c>
      <c r="F163" s="100" t="s">
        <v>244</v>
      </c>
      <c r="G163" s="6"/>
      <c r="H163" s="6" t="s">
        <v>192</v>
      </c>
      <c r="I163" s="9"/>
      <c r="J163" s="1">
        <v>47</v>
      </c>
    </row>
    <row r="164" spans="4:10" x14ac:dyDescent="0.2">
      <c r="D164" s="2">
        <v>45989</v>
      </c>
      <c r="E164" s="21" t="s">
        <v>10</v>
      </c>
      <c r="F164" s="100" t="s">
        <v>244</v>
      </c>
      <c r="G164" s="6"/>
      <c r="H164" s="6" t="s">
        <v>192</v>
      </c>
      <c r="I164" s="9"/>
      <c r="J164" s="1">
        <v>126</v>
      </c>
    </row>
    <row r="165" spans="4:10" x14ac:dyDescent="0.2">
      <c r="D165" s="2">
        <v>45989</v>
      </c>
      <c r="E165" s="21" t="s">
        <v>70</v>
      </c>
      <c r="F165" s="100" t="s">
        <v>9</v>
      </c>
      <c r="G165" s="6"/>
      <c r="H165" s="6" t="s">
        <v>192</v>
      </c>
      <c r="I165" s="9"/>
      <c r="J165" s="1">
        <v>6.5</v>
      </c>
    </row>
    <row r="166" spans="4:10" x14ac:dyDescent="0.2">
      <c r="D166" s="2">
        <v>45989</v>
      </c>
      <c r="E166" s="21" t="s">
        <v>54</v>
      </c>
      <c r="F166" s="100" t="s">
        <v>126</v>
      </c>
      <c r="G166" s="6"/>
      <c r="H166" s="6" t="s">
        <v>192</v>
      </c>
      <c r="I166" s="9"/>
      <c r="J166" s="1">
        <v>19.5</v>
      </c>
    </row>
    <row r="167" spans="4:10" x14ac:dyDescent="0.2">
      <c r="D167" s="2">
        <v>45989</v>
      </c>
      <c r="E167" s="21" t="s">
        <v>9</v>
      </c>
      <c r="F167" s="100" t="s">
        <v>9</v>
      </c>
      <c r="G167" s="6"/>
      <c r="H167" s="6" t="s">
        <v>192</v>
      </c>
      <c r="I167" s="9"/>
      <c r="J167" s="1">
        <v>96</v>
      </c>
    </row>
    <row r="168" spans="4:10" x14ac:dyDescent="0.2">
      <c r="D168" s="2">
        <v>45989</v>
      </c>
      <c r="E168" s="21" t="s">
        <v>30</v>
      </c>
      <c r="F168" s="100" t="s">
        <v>18</v>
      </c>
      <c r="G168" s="6" t="s">
        <v>18</v>
      </c>
      <c r="H168" s="6" t="s">
        <v>192</v>
      </c>
      <c r="I168" s="9"/>
      <c r="J168" s="1">
        <v>250</v>
      </c>
    </row>
    <row r="169" spans="4:10" x14ac:dyDescent="0.2">
      <c r="D169" s="2">
        <v>45989</v>
      </c>
      <c r="E169" s="21" t="s">
        <v>16</v>
      </c>
      <c r="F169" s="100" t="s">
        <v>16</v>
      </c>
      <c r="G169" s="6" t="s">
        <v>59</v>
      </c>
      <c r="H169" s="6" t="s">
        <v>192</v>
      </c>
      <c r="I169" s="9"/>
      <c r="J169" s="1">
        <v>600</v>
      </c>
    </row>
    <row r="170" spans="4:10" x14ac:dyDescent="0.2">
      <c r="D170" s="2">
        <v>45989</v>
      </c>
      <c r="E170" s="21" t="s">
        <v>19</v>
      </c>
      <c r="F170" s="100" t="s">
        <v>241</v>
      </c>
      <c r="G170" s="6"/>
      <c r="H170" s="6" t="s">
        <v>192</v>
      </c>
      <c r="I170" s="9"/>
      <c r="J170" s="1">
        <v>100</v>
      </c>
    </row>
    <row r="171" spans="4:10" x14ac:dyDescent="0.2">
      <c r="D171" s="2">
        <v>45989</v>
      </c>
      <c r="E171" s="100" t="s">
        <v>265</v>
      </c>
      <c r="F171" s="100" t="s">
        <v>249</v>
      </c>
      <c r="G171" s="6" t="s">
        <v>264</v>
      </c>
      <c r="H171" s="6" t="s">
        <v>192</v>
      </c>
      <c r="I171" s="9"/>
      <c r="J171" s="1">
        <v>1100</v>
      </c>
    </row>
    <row r="172" spans="4:10" x14ac:dyDescent="0.2">
      <c r="D172" s="2">
        <v>45989</v>
      </c>
      <c r="E172" s="24" t="s">
        <v>76</v>
      </c>
      <c r="F172" s="100" t="s">
        <v>98</v>
      </c>
      <c r="G172" s="6" t="s">
        <v>77</v>
      </c>
      <c r="H172" s="6" t="s">
        <v>192</v>
      </c>
      <c r="I172" s="9"/>
      <c r="J172" s="1">
        <v>3000</v>
      </c>
    </row>
    <row r="173" spans="4:10" x14ac:dyDescent="0.2">
      <c r="D173" s="2">
        <v>45989</v>
      </c>
      <c r="E173" s="24" t="s">
        <v>76</v>
      </c>
      <c r="F173" s="100" t="s">
        <v>98</v>
      </c>
      <c r="G173" s="6" t="s">
        <v>78</v>
      </c>
      <c r="H173" s="6" t="s">
        <v>192</v>
      </c>
      <c r="I173" s="9"/>
      <c r="J173" s="1">
        <v>7200</v>
      </c>
    </row>
    <row r="174" spans="4:10" x14ac:dyDescent="0.2">
      <c r="D174" s="2">
        <v>45990</v>
      </c>
      <c r="E174" s="22" t="s">
        <v>11</v>
      </c>
      <c r="F174" s="100" t="s">
        <v>81</v>
      </c>
      <c r="G174" s="6" t="s">
        <v>13</v>
      </c>
      <c r="H174" s="6" t="s">
        <v>192</v>
      </c>
      <c r="I174" s="9"/>
      <c r="J174" s="1">
        <v>100</v>
      </c>
    </row>
    <row r="175" spans="4:10" x14ac:dyDescent="0.2">
      <c r="D175" s="2">
        <v>45990</v>
      </c>
      <c r="E175" s="22" t="s">
        <v>42</v>
      </c>
      <c r="F175" s="100" t="s">
        <v>42</v>
      </c>
      <c r="G175" s="6"/>
      <c r="H175" s="6" t="s">
        <v>192</v>
      </c>
      <c r="I175" s="9"/>
      <c r="J175" s="1">
        <v>150</v>
      </c>
    </row>
    <row r="176" spans="4:10" x14ac:dyDescent="0.2">
      <c r="D176" s="2">
        <v>45990</v>
      </c>
      <c r="E176" s="22" t="s">
        <v>74</v>
      </c>
      <c r="F176" s="100" t="s">
        <v>126</v>
      </c>
      <c r="G176" s="6"/>
      <c r="H176" s="6" t="s">
        <v>192</v>
      </c>
      <c r="I176" s="9"/>
      <c r="J176" s="1">
        <v>14</v>
      </c>
    </row>
    <row r="177" spans="4:10" x14ac:dyDescent="0.2">
      <c r="D177" s="2">
        <v>45990</v>
      </c>
      <c r="E177" s="22" t="s">
        <v>27</v>
      </c>
      <c r="F177" s="100" t="s">
        <v>40</v>
      </c>
      <c r="G177" s="6"/>
      <c r="H177" s="6" t="s">
        <v>192</v>
      </c>
      <c r="I177" s="9"/>
      <c r="J177" s="1">
        <v>45</v>
      </c>
    </row>
    <row r="178" spans="4:10" x14ac:dyDescent="0.2">
      <c r="D178" s="2">
        <v>45990</v>
      </c>
      <c r="E178" s="22" t="s">
        <v>10</v>
      </c>
      <c r="F178" s="100" t="s">
        <v>244</v>
      </c>
      <c r="G178" s="6"/>
      <c r="H178" s="6" t="s">
        <v>192</v>
      </c>
      <c r="I178" s="9"/>
      <c r="J178" s="1">
        <v>120</v>
      </c>
    </row>
    <row r="179" spans="4:10" x14ac:dyDescent="0.2">
      <c r="D179" s="2">
        <v>45990</v>
      </c>
      <c r="E179" s="22" t="s">
        <v>75</v>
      </c>
      <c r="F179" s="100" t="s">
        <v>241</v>
      </c>
      <c r="G179" s="6"/>
      <c r="H179" s="6" t="s">
        <v>192</v>
      </c>
      <c r="I179" s="9"/>
      <c r="J179" s="1">
        <v>4</v>
      </c>
    </row>
    <row r="180" spans="4:10" x14ac:dyDescent="0.2">
      <c r="D180" s="2">
        <v>45990</v>
      </c>
      <c r="E180" s="22" t="s">
        <v>9</v>
      </c>
      <c r="F180" s="100" t="s">
        <v>9</v>
      </c>
      <c r="G180" s="6"/>
      <c r="H180" s="6" t="s">
        <v>192</v>
      </c>
      <c r="I180" s="9"/>
      <c r="J180" s="1">
        <v>56.5</v>
      </c>
    </row>
    <row r="181" spans="4:10" x14ac:dyDescent="0.2">
      <c r="D181" s="2">
        <v>45991</v>
      </c>
      <c r="E181" s="24" t="s">
        <v>42</v>
      </c>
      <c r="F181" s="100" t="s">
        <v>42</v>
      </c>
      <c r="G181" s="6"/>
      <c r="H181" s="6" t="s">
        <v>192</v>
      </c>
      <c r="I181" s="9"/>
      <c r="J181" s="1">
        <v>150</v>
      </c>
    </row>
    <row r="182" spans="4:10" x14ac:dyDescent="0.2">
      <c r="D182" s="2">
        <v>45991</v>
      </c>
      <c r="E182" s="24" t="s">
        <v>10</v>
      </c>
      <c r="F182" s="100" t="s">
        <v>244</v>
      </c>
      <c r="G182" s="6"/>
      <c r="H182" s="6" t="s">
        <v>192</v>
      </c>
      <c r="I182" s="9"/>
      <c r="J182" s="1">
        <v>240</v>
      </c>
    </row>
    <row r="183" spans="4:10" x14ac:dyDescent="0.2">
      <c r="D183" s="2">
        <v>45991</v>
      </c>
      <c r="E183" s="24" t="s">
        <v>10</v>
      </c>
      <c r="F183" s="100" t="s">
        <v>244</v>
      </c>
      <c r="G183" s="6"/>
      <c r="H183" s="6" t="s">
        <v>192</v>
      </c>
      <c r="I183" s="9"/>
      <c r="J183" s="1">
        <v>115.5</v>
      </c>
    </row>
    <row r="184" spans="4:10" x14ac:dyDescent="0.2">
      <c r="D184" s="2">
        <v>45991</v>
      </c>
      <c r="E184" s="24" t="s">
        <v>22</v>
      </c>
      <c r="F184" s="100" t="s">
        <v>9</v>
      </c>
      <c r="G184" s="6"/>
      <c r="H184" s="6" t="s">
        <v>192</v>
      </c>
      <c r="I184" s="9"/>
      <c r="J184" s="1">
        <v>88</v>
      </c>
    </row>
    <row r="185" spans="4:10" x14ac:dyDescent="0.2">
      <c r="D185" s="2">
        <v>45991</v>
      </c>
      <c r="E185" s="24" t="s">
        <v>30</v>
      </c>
      <c r="F185" s="100" t="s">
        <v>18</v>
      </c>
      <c r="G185" s="6"/>
      <c r="H185" s="6" t="s">
        <v>192</v>
      </c>
      <c r="I185" s="9"/>
      <c r="J185" s="1">
        <v>50</v>
      </c>
    </row>
    <row r="186" spans="4:10" x14ac:dyDescent="0.2">
      <c r="D186" s="2">
        <v>45991</v>
      </c>
      <c r="E186" s="24" t="s">
        <v>76</v>
      </c>
      <c r="F186" s="100" t="s">
        <v>98</v>
      </c>
      <c r="G186" s="6" t="s">
        <v>79</v>
      </c>
      <c r="H186" s="6" t="s">
        <v>192</v>
      </c>
      <c r="I186" s="9"/>
      <c r="J186" s="1">
        <v>10350</v>
      </c>
    </row>
    <row r="187" spans="4:10" x14ac:dyDescent="0.2">
      <c r="D187" s="2">
        <v>45991</v>
      </c>
      <c r="E187" s="24" t="s">
        <v>80</v>
      </c>
      <c r="F187" s="100" t="s">
        <v>241</v>
      </c>
      <c r="G187" s="6"/>
      <c r="H187" s="6" t="s">
        <v>192</v>
      </c>
      <c r="I187" s="9"/>
      <c r="J187" s="1">
        <v>100</v>
      </c>
    </row>
    <row r="188" spans="4:10" x14ac:dyDescent="0.2">
      <c r="D188" s="2">
        <v>45991</v>
      </c>
      <c r="E188" s="100" t="s">
        <v>90</v>
      </c>
      <c r="F188" s="100" t="s">
        <v>18</v>
      </c>
      <c r="G188" s="6" t="s">
        <v>258</v>
      </c>
      <c r="H188" s="6" t="s">
        <v>192</v>
      </c>
      <c r="I188" s="9"/>
      <c r="J188" s="1">
        <v>3000</v>
      </c>
    </row>
    <row r="189" spans="4:10" x14ac:dyDescent="0.2">
      <c r="D189" s="2">
        <v>45991</v>
      </c>
      <c r="E189" s="100" t="s">
        <v>30</v>
      </c>
      <c r="F189" s="100" t="s">
        <v>18</v>
      </c>
      <c r="G189" s="6" t="s">
        <v>266</v>
      </c>
      <c r="H189" s="6" t="s">
        <v>192</v>
      </c>
      <c r="I189" s="9"/>
      <c r="J189" s="1">
        <v>175</v>
      </c>
    </row>
    <row r="190" spans="4:10" x14ac:dyDescent="0.2">
      <c r="D190" s="7"/>
      <c r="E190" s="8"/>
      <c r="F190" s="8"/>
      <c r="G190" s="8"/>
      <c r="H190" s="8"/>
      <c r="I190" s="8">
        <f>SUBTOTAL(109,الجدول167891223324515[ايداع])</f>
        <v>0</v>
      </c>
      <c r="J190" s="8">
        <f>SUBTOTAL(109,الجدول167891223324515[صرف])</f>
        <v>80445.5</v>
      </c>
    </row>
  </sheetData>
  <mergeCells count="2">
    <mergeCell ref="D2:J2"/>
    <mergeCell ref="L3:M4"/>
  </mergeCells>
  <hyperlinks>
    <hyperlink ref="L3:M4" location="القائمه!A1" display="القائمه"/>
  </hyperlinks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71"/>
  <sheetViews>
    <sheetView rightToLeft="1" topLeftCell="D155" zoomScale="115" zoomScaleNormal="115" workbookViewId="0">
      <selection activeCell="E155" sqref="E155"/>
    </sheetView>
  </sheetViews>
  <sheetFormatPr defaultRowHeight="14.25" x14ac:dyDescent="0.2"/>
  <cols>
    <col min="1" max="1" width="3.625" style="1" hidden="1" customWidth="1"/>
    <col min="2" max="3" width="9.125" style="1" hidden="1" customWidth="1"/>
    <col min="4" max="4" width="10.25" style="2" bestFit="1" customWidth="1"/>
    <col min="5" max="5" width="32.25" style="1" customWidth="1"/>
    <col min="6" max="6" width="18" style="1" customWidth="1"/>
    <col min="7" max="7" width="24.75" style="1" bestFit="1" customWidth="1"/>
    <col min="8" max="8" width="10.625" style="1" customWidth="1"/>
    <col min="9" max="9" width="6.125" style="1" bestFit="1" customWidth="1"/>
    <col min="10" max="10" width="7.875" style="1" bestFit="1" customWidth="1"/>
    <col min="11" max="11" width="9" style="1"/>
    <col min="12" max="12" width="6.125" style="1" customWidth="1"/>
    <col min="13" max="16384" width="9" style="1"/>
  </cols>
  <sheetData>
    <row r="2" spans="4:13" ht="15.75" x14ac:dyDescent="0.25">
      <c r="D2" s="163" t="s">
        <v>0</v>
      </c>
      <c r="E2" s="163"/>
      <c r="F2" s="163"/>
      <c r="G2" s="163"/>
      <c r="H2" s="163"/>
      <c r="I2" s="163"/>
      <c r="J2" s="163"/>
    </row>
    <row r="3" spans="4:13" ht="18" x14ac:dyDescent="0.25">
      <c r="D3" s="2" t="s">
        <v>2</v>
      </c>
      <c r="E3" s="1" t="s">
        <v>3</v>
      </c>
      <c r="F3" s="100" t="s">
        <v>240</v>
      </c>
      <c r="G3" s="3" t="s">
        <v>4</v>
      </c>
      <c r="H3" s="100" t="s">
        <v>192</v>
      </c>
      <c r="I3" s="3" t="s">
        <v>5</v>
      </c>
      <c r="J3" s="3" t="s">
        <v>6</v>
      </c>
      <c r="L3" s="164" t="s">
        <v>7</v>
      </c>
      <c r="M3" s="164"/>
    </row>
    <row r="4" spans="4:13" ht="18" x14ac:dyDescent="0.25">
      <c r="D4" s="2">
        <v>45992</v>
      </c>
      <c r="E4" s="26" t="s">
        <v>42</v>
      </c>
      <c r="F4" s="100" t="s">
        <v>42</v>
      </c>
      <c r="G4" s="3"/>
      <c r="H4" s="100" t="s">
        <v>192</v>
      </c>
      <c r="I4" s="3"/>
      <c r="J4" s="1">
        <v>112</v>
      </c>
      <c r="L4" s="99"/>
      <c r="M4" s="99"/>
    </row>
    <row r="5" spans="4:13" x14ac:dyDescent="0.2">
      <c r="D5" s="2">
        <v>45992</v>
      </c>
      <c r="E5" s="28" t="s">
        <v>40</v>
      </c>
      <c r="F5" s="100" t="s">
        <v>40</v>
      </c>
      <c r="G5" s="27"/>
      <c r="H5" s="100" t="s">
        <v>192</v>
      </c>
      <c r="I5" s="3"/>
      <c r="J5" s="1">
        <v>51</v>
      </c>
    </row>
    <row r="6" spans="4:13" x14ac:dyDescent="0.2">
      <c r="D6" s="2">
        <v>45992</v>
      </c>
      <c r="E6" s="26" t="s">
        <v>21</v>
      </c>
      <c r="F6" s="100" t="s">
        <v>250</v>
      </c>
      <c r="G6" s="27"/>
      <c r="H6" s="100" t="s">
        <v>192</v>
      </c>
      <c r="I6" s="3"/>
      <c r="J6" s="1">
        <v>21</v>
      </c>
    </row>
    <row r="7" spans="4:13" x14ac:dyDescent="0.2">
      <c r="D7" s="2">
        <v>45992</v>
      </c>
      <c r="E7" s="26" t="s">
        <v>9</v>
      </c>
      <c r="F7" s="100" t="s">
        <v>9</v>
      </c>
      <c r="G7" s="27"/>
      <c r="H7" s="100" t="s">
        <v>192</v>
      </c>
      <c r="I7" s="3"/>
      <c r="J7" s="1">
        <v>65</v>
      </c>
    </row>
    <row r="8" spans="4:13" x14ac:dyDescent="0.2">
      <c r="D8" s="2">
        <v>45993</v>
      </c>
      <c r="E8" s="26" t="s">
        <v>42</v>
      </c>
      <c r="F8" s="100" t="s">
        <v>42</v>
      </c>
      <c r="G8" s="3"/>
      <c r="H8" s="100" t="s">
        <v>192</v>
      </c>
      <c r="I8" s="3"/>
      <c r="J8" s="1">
        <v>58</v>
      </c>
    </row>
    <row r="9" spans="4:13" x14ac:dyDescent="0.2">
      <c r="D9" s="2">
        <v>45994</v>
      </c>
      <c r="E9" s="26" t="s">
        <v>83</v>
      </c>
      <c r="F9" s="100" t="s">
        <v>244</v>
      </c>
      <c r="G9" s="10"/>
      <c r="H9" s="100" t="s">
        <v>192</v>
      </c>
      <c r="I9" s="3"/>
      <c r="J9" s="1">
        <v>650</v>
      </c>
    </row>
    <row r="10" spans="4:13" x14ac:dyDescent="0.2">
      <c r="D10" s="2">
        <v>45994</v>
      </c>
      <c r="E10" s="26" t="s">
        <v>84</v>
      </c>
      <c r="F10" s="100" t="s">
        <v>244</v>
      </c>
      <c r="G10" s="48" t="s">
        <v>91</v>
      </c>
      <c r="H10" s="100" t="s">
        <v>192</v>
      </c>
      <c r="I10" s="3"/>
      <c r="J10" s="1">
        <v>262</v>
      </c>
    </row>
    <row r="11" spans="4:13" x14ac:dyDescent="0.2">
      <c r="D11" s="2">
        <v>45994</v>
      </c>
      <c r="E11" s="26" t="s">
        <v>84</v>
      </c>
      <c r="F11" s="100" t="s">
        <v>244</v>
      </c>
      <c r="G11" s="48" t="s">
        <v>91</v>
      </c>
      <c r="H11" s="100" t="s">
        <v>192</v>
      </c>
      <c r="I11" s="3"/>
      <c r="J11" s="1">
        <v>120</v>
      </c>
    </row>
    <row r="12" spans="4:13" x14ac:dyDescent="0.2">
      <c r="D12" s="2">
        <v>45994</v>
      </c>
      <c r="E12" s="26" t="s">
        <v>85</v>
      </c>
      <c r="F12" s="100" t="s">
        <v>244</v>
      </c>
      <c r="G12" s="3"/>
      <c r="H12" s="100" t="s">
        <v>192</v>
      </c>
      <c r="I12" s="3"/>
      <c r="J12" s="1">
        <v>47</v>
      </c>
    </row>
    <row r="13" spans="4:13" x14ac:dyDescent="0.2">
      <c r="D13" s="2">
        <v>45994</v>
      </c>
      <c r="E13" s="26" t="s">
        <v>42</v>
      </c>
      <c r="F13" s="100" t="s">
        <v>42</v>
      </c>
      <c r="G13" s="3"/>
      <c r="H13" s="100" t="s">
        <v>192</v>
      </c>
      <c r="I13" s="3"/>
      <c r="J13" s="1">
        <v>188</v>
      </c>
    </row>
    <row r="14" spans="4:13" x14ac:dyDescent="0.2">
      <c r="D14" s="2">
        <v>45994</v>
      </c>
      <c r="E14" s="26" t="s">
        <v>9</v>
      </c>
      <c r="F14" s="100" t="s">
        <v>9</v>
      </c>
      <c r="G14" s="27"/>
      <c r="H14" s="100" t="s">
        <v>192</v>
      </c>
      <c r="I14" s="3"/>
      <c r="J14" s="1">
        <v>60</v>
      </c>
    </row>
    <row r="15" spans="4:13" x14ac:dyDescent="0.2">
      <c r="D15" s="2">
        <v>45995</v>
      </c>
      <c r="E15" s="27" t="s">
        <v>86</v>
      </c>
      <c r="F15" s="100" t="s">
        <v>244</v>
      </c>
      <c r="G15" s="21"/>
      <c r="H15" s="100" t="s">
        <v>192</v>
      </c>
      <c r="I15" s="3"/>
      <c r="J15" s="1">
        <v>168</v>
      </c>
    </row>
    <row r="16" spans="4:13" x14ac:dyDescent="0.2">
      <c r="D16" s="2">
        <v>45995</v>
      </c>
      <c r="E16" s="27" t="s">
        <v>84</v>
      </c>
      <c r="F16" s="100" t="s">
        <v>244</v>
      </c>
      <c r="G16" s="48" t="s">
        <v>91</v>
      </c>
      <c r="H16" s="100" t="s">
        <v>192</v>
      </c>
      <c r="J16" s="1">
        <v>52.5</v>
      </c>
    </row>
    <row r="17" spans="4:12" x14ac:dyDescent="0.2">
      <c r="D17" s="2">
        <v>45995</v>
      </c>
      <c r="E17" s="27" t="s">
        <v>84</v>
      </c>
      <c r="F17" s="100" t="s">
        <v>244</v>
      </c>
      <c r="G17" s="48" t="s">
        <v>91</v>
      </c>
      <c r="H17" s="100" t="s">
        <v>192</v>
      </c>
      <c r="I17" s="4"/>
      <c r="J17" s="1">
        <v>25</v>
      </c>
    </row>
    <row r="18" spans="4:12" x14ac:dyDescent="0.2">
      <c r="D18" s="2">
        <v>45995</v>
      </c>
      <c r="E18" s="27" t="s">
        <v>84</v>
      </c>
      <c r="F18" s="100" t="s">
        <v>244</v>
      </c>
      <c r="G18" s="48" t="s">
        <v>91</v>
      </c>
      <c r="H18" s="100" t="s">
        <v>192</v>
      </c>
      <c r="I18" s="4"/>
      <c r="J18" s="1">
        <v>173</v>
      </c>
    </row>
    <row r="19" spans="4:12" x14ac:dyDescent="0.2">
      <c r="D19" s="2">
        <v>45995</v>
      </c>
      <c r="E19" s="27" t="s">
        <v>87</v>
      </c>
      <c r="F19" s="100" t="s">
        <v>244</v>
      </c>
      <c r="G19" s="3"/>
      <c r="H19" s="100" t="s">
        <v>192</v>
      </c>
      <c r="I19" s="4"/>
      <c r="J19" s="1">
        <v>10</v>
      </c>
    </row>
    <row r="20" spans="4:12" x14ac:dyDescent="0.2">
      <c r="D20" s="2">
        <v>45995</v>
      </c>
      <c r="E20" s="27" t="s">
        <v>42</v>
      </c>
      <c r="F20" s="100" t="s">
        <v>42</v>
      </c>
      <c r="G20" s="3"/>
      <c r="H20" s="100" t="s">
        <v>192</v>
      </c>
      <c r="I20" s="4"/>
      <c r="J20" s="1">
        <v>202</v>
      </c>
    </row>
    <row r="21" spans="4:12" x14ac:dyDescent="0.2">
      <c r="D21" s="2">
        <v>45995</v>
      </c>
      <c r="E21" s="27" t="s">
        <v>9</v>
      </c>
      <c r="F21" s="100" t="s">
        <v>9</v>
      </c>
      <c r="G21" s="27"/>
      <c r="H21" s="100" t="s">
        <v>192</v>
      </c>
      <c r="I21" s="4"/>
      <c r="J21" s="1">
        <v>85</v>
      </c>
    </row>
    <row r="22" spans="4:12" x14ac:dyDescent="0.2">
      <c r="D22" s="2">
        <v>45995</v>
      </c>
      <c r="E22" s="27" t="s">
        <v>21</v>
      </c>
      <c r="F22" s="100" t="s">
        <v>250</v>
      </c>
      <c r="G22" s="27"/>
      <c r="H22" s="100" t="s">
        <v>192</v>
      </c>
      <c r="I22" s="4"/>
      <c r="J22" s="1">
        <v>30</v>
      </c>
    </row>
    <row r="23" spans="4:12" x14ac:dyDescent="0.2">
      <c r="D23" s="2">
        <v>45995</v>
      </c>
      <c r="E23" s="27" t="s">
        <v>16</v>
      </c>
      <c r="F23" s="100" t="s">
        <v>16</v>
      </c>
      <c r="G23" s="27" t="s">
        <v>88</v>
      </c>
      <c r="H23" s="100" t="s">
        <v>192</v>
      </c>
      <c r="I23" s="4"/>
      <c r="J23" s="1">
        <v>2200</v>
      </c>
    </row>
    <row r="24" spans="4:12" x14ac:dyDescent="0.2">
      <c r="D24" s="2">
        <v>45995</v>
      </c>
      <c r="E24" s="100" t="s">
        <v>267</v>
      </c>
      <c r="F24" s="100" t="s">
        <v>249</v>
      </c>
      <c r="G24" s="49" t="s">
        <v>117</v>
      </c>
      <c r="H24" s="100" t="s">
        <v>192</v>
      </c>
      <c r="I24" s="4"/>
      <c r="J24" s="1">
        <v>500</v>
      </c>
    </row>
    <row r="25" spans="4:12" x14ac:dyDescent="0.2">
      <c r="D25" s="2">
        <v>45995</v>
      </c>
      <c r="E25" s="165" t="s">
        <v>315</v>
      </c>
      <c r="F25" s="100" t="s">
        <v>90</v>
      </c>
      <c r="G25" s="27" t="s">
        <v>91</v>
      </c>
      <c r="H25" s="100" t="s">
        <v>192</v>
      </c>
      <c r="I25" s="4"/>
      <c r="J25" s="1">
        <v>7500</v>
      </c>
    </row>
    <row r="26" spans="4:12" x14ac:dyDescent="0.2">
      <c r="D26" s="2">
        <v>45995</v>
      </c>
      <c r="E26" s="165" t="s">
        <v>315</v>
      </c>
      <c r="F26" s="100" t="s">
        <v>90</v>
      </c>
      <c r="G26" s="27" t="s">
        <v>92</v>
      </c>
      <c r="H26" s="100" t="s">
        <v>192</v>
      </c>
      <c r="I26" s="4"/>
      <c r="J26" s="1">
        <v>7500</v>
      </c>
    </row>
    <row r="27" spans="4:12" x14ac:dyDescent="0.2">
      <c r="D27" s="2">
        <v>45995</v>
      </c>
      <c r="E27" s="165" t="s">
        <v>315</v>
      </c>
      <c r="F27" s="100" t="s">
        <v>90</v>
      </c>
      <c r="G27" s="29" t="s">
        <v>96</v>
      </c>
      <c r="H27" s="100" t="s">
        <v>192</v>
      </c>
      <c r="I27" s="4"/>
      <c r="J27" s="1">
        <v>6000</v>
      </c>
      <c r="K27" s="28"/>
      <c r="L27" s="28"/>
    </row>
    <row r="28" spans="4:12" x14ac:dyDescent="0.2">
      <c r="D28" s="2">
        <v>45996</v>
      </c>
      <c r="E28" s="100" t="s">
        <v>251</v>
      </c>
      <c r="F28" s="100" t="s">
        <v>249</v>
      </c>
      <c r="G28" s="100" t="s">
        <v>268</v>
      </c>
      <c r="H28" s="100" t="s">
        <v>192</v>
      </c>
      <c r="I28" s="4"/>
      <c r="J28" s="1">
        <v>1650</v>
      </c>
      <c r="K28" s="28"/>
    </row>
    <row r="29" spans="4:12" x14ac:dyDescent="0.2">
      <c r="D29" s="2">
        <v>45996</v>
      </c>
      <c r="E29" s="33" t="s">
        <v>42</v>
      </c>
      <c r="F29" s="100" t="s">
        <v>42</v>
      </c>
      <c r="G29" s="28"/>
      <c r="H29" s="100" t="s">
        <v>192</v>
      </c>
      <c r="I29" s="4"/>
      <c r="J29" s="1">
        <v>202</v>
      </c>
      <c r="K29" s="28"/>
    </row>
    <row r="30" spans="4:12" x14ac:dyDescent="0.2">
      <c r="D30" s="2">
        <v>45996</v>
      </c>
      <c r="E30" s="33" t="s">
        <v>40</v>
      </c>
      <c r="F30" s="100" t="s">
        <v>40</v>
      </c>
      <c r="G30" s="29"/>
      <c r="H30" s="100" t="s">
        <v>192</v>
      </c>
      <c r="I30" s="4"/>
      <c r="J30" s="1">
        <v>43</v>
      </c>
    </row>
    <row r="31" spans="4:12" x14ac:dyDescent="0.2">
      <c r="D31" s="2">
        <v>45996</v>
      </c>
      <c r="E31" s="33" t="s">
        <v>93</v>
      </c>
      <c r="F31" s="100" t="s">
        <v>244</v>
      </c>
      <c r="G31" s="33" t="s">
        <v>95</v>
      </c>
      <c r="H31" s="100" t="s">
        <v>192</v>
      </c>
      <c r="I31" s="4"/>
      <c r="J31" s="1">
        <v>160</v>
      </c>
    </row>
    <row r="32" spans="4:12" x14ac:dyDescent="0.2">
      <c r="D32" s="2">
        <v>45996</v>
      </c>
      <c r="E32" s="33" t="s">
        <v>9</v>
      </c>
      <c r="F32" s="100" t="s">
        <v>9</v>
      </c>
      <c r="G32" s="33"/>
      <c r="H32" s="100" t="s">
        <v>192</v>
      </c>
      <c r="I32" s="4"/>
      <c r="J32" s="1">
        <v>48.5</v>
      </c>
    </row>
    <row r="33" spans="4:10" x14ac:dyDescent="0.2">
      <c r="D33" s="2">
        <v>45996</v>
      </c>
      <c r="E33" s="133" t="s">
        <v>241</v>
      </c>
      <c r="F33" s="100" t="s">
        <v>241</v>
      </c>
      <c r="G33" s="3"/>
      <c r="H33" s="100" t="s">
        <v>192</v>
      </c>
      <c r="I33" s="4"/>
      <c r="J33" s="1">
        <v>800</v>
      </c>
    </row>
    <row r="34" spans="4:10" x14ac:dyDescent="0.2">
      <c r="D34" s="2">
        <v>45996</v>
      </c>
      <c r="E34" s="28" t="s">
        <v>32</v>
      </c>
      <c r="F34" s="100" t="s">
        <v>16</v>
      </c>
      <c r="G34" s="3"/>
      <c r="H34" s="100" t="s">
        <v>192</v>
      </c>
      <c r="I34" s="4"/>
      <c r="J34" s="1">
        <v>200</v>
      </c>
    </row>
    <row r="35" spans="4:10" x14ac:dyDescent="0.2">
      <c r="D35" s="2">
        <v>45996</v>
      </c>
      <c r="E35" s="28" t="s">
        <v>16</v>
      </c>
      <c r="F35" s="100" t="s">
        <v>16</v>
      </c>
      <c r="G35" s="28" t="s">
        <v>94</v>
      </c>
      <c r="H35" s="100" t="s">
        <v>192</v>
      </c>
      <c r="I35" s="4"/>
      <c r="J35" s="1">
        <v>500</v>
      </c>
    </row>
    <row r="36" spans="4:10" x14ac:dyDescent="0.2">
      <c r="D36" s="2">
        <v>45997</v>
      </c>
      <c r="E36" s="31" t="s">
        <v>42</v>
      </c>
      <c r="F36" s="100" t="s">
        <v>42</v>
      </c>
      <c r="G36" s="3"/>
      <c r="H36" s="100" t="s">
        <v>192</v>
      </c>
      <c r="I36" s="5"/>
      <c r="J36" s="1">
        <v>108</v>
      </c>
    </row>
    <row r="37" spans="4:10" x14ac:dyDescent="0.2">
      <c r="D37" s="2">
        <v>45997</v>
      </c>
      <c r="E37" s="30" t="s">
        <v>85</v>
      </c>
      <c r="F37" s="100" t="s">
        <v>244</v>
      </c>
      <c r="G37" s="3"/>
      <c r="H37" s="100" t="s">
        <v>192</v>
      </c>
      <c r="I37" s="5"/>
      <c r="J37" s="1">
        <v>30</v>
      </c>
    </row>
    <row r="38" spans="4:10" x14ac:dyDescent="0.2">
      <c r="D38" s="2">
        <v>45997</v>
      </c>
      <c r="E38" s="30" t="s">
        <v>21</v>
      </c>
      <c r="F38" s="100" t="s">
        <v>250</v>
      </c>
      <c r="G38" s="10"/>
      <c r="H38" s="100" t="s">
        <v>192</v>
      </c>
      <c r="I38" s="5"/>
      <c r="J38" s="1">
        <v>29</v>
      </c>
    </row>
    <row r="39" spans="4:10" x14ac:dyDescent="0.2">
      <c r="D39" s="2">
        <v>45997</v>
      </c>
      <c r="E39" s="30" t="s">
        <v>16</v>
      </c>
      <c r="F39" s="100" t="s">
        <v>16</v>
      </c>
      <c r="G39" s="30" t="s">
        <v>94</v>
      </c>
      <c r="H39" s="100" t="s">
        <v>192</v>
      </c>
      <c r="I39" s="4"/>
      <c r="J39" s="1">
        <v>200</v>
      </c>
    </row>
    <row r="40" spans="4:10" x14ac:dyDescent="0.2">
      <c r="D40" s="2">
        <v>45997</v>
      </c>
      <c r="E40" s="30" t="s">
        <v>9</v>
      </c>
      <c r="F40" s="100" t="s">
        <v>9</v>
      </c>
      <c r="G40" s="31"/>
      <c r="H40" s="100" t="s">
        <v>192</v>
      </c>
      <c r="I40" s="4"/>
      <c r="J40" s="1">
        <v>104</v>
      </c>
    </row>
    <row r="41" spans="4:10" x14ac:dyDescent="0.2">
      <c r="D41" s="2">
        <v>45997</v>
      </c>
      <c r="E41" s="31" t="s">
        <v>81</v>
      </c>
      <c r="F41" s="100" t="s">
        <v>81</v>
      </c>
      <c r="G41" s="31" t="s">
        <v>13</v>
      </c>
      <c r="H41" s="100" t="s">
        <v>192</v>
      </c>
      <c r="I41" s="4"/>
      <c r="J41" s="1">
        <v>92</v>
      </c>
    </row>
    <row r="42" spans="4:10" x14ac:dyDescent="0.2">
      <c r="D42" s="2">
        <v>45997</v>
      </c>
      <c r="E42" s="31" t="s">
        <v>97</v>
      </c>
      <c r="F42" s="100" t="s">
        <v>189</v>
      </c>
      <c r="H42" s="100" t="s">
        <v>192</v>
      </c>
      <c r="I42" s="4"/>
      <c r="J42" s="1">
        <v>50</v>
      </c>
    </row>
    <row r="43" spans="4:10" x14ac:dyDescent="0.2">
      <c r="D43" s="2">
        <v>45998</v>
      </c>
      <c r="E43" s="165" t="s">
        <v>315</v>
      </c>
      <c r="F43" s="100" t="s">
        <v>90</v>
      </c>
      <c r="G43" s="6" t="s">
        <v>269</v>
      </c>
      <c r="H43" s="6" t="s">
        <v>192</v>
      </c>
      <c r="I43" s="6"/>
      <c r="J43" s="1">
        <v>12000</v>
      </c>
    </row>
    <row r="44" spans="4:10" x14ac:dyDescent="0.2">
      <c r="D44" s="2">
        <v>45998</v>
      </c>
      <c r="E44" s="32" t="s">
        <v>42</v>
      </c>
      <c r="F44" s="100" t="s">
        <v>42</v>
      </c>
      <c r="G44" s="6"/>
      <c r="H44" s="6" t="s">
        <v>192</v>
      </c>
      <c r="I44" s="6"/>
      <c r="J44" s="1">
        <v>154</v>
      </c>
    </row>
    <row r="45" spans="4:10" x14ac:dyDescent="0.2">
      <c r="D45" s="2">
        <v>45998</v>
      </c>
      <c r="E45" s="32" t="s">
        <v>81</v>
      </c>
      <c r="F45" s="100" t="s">
        <v>81</v>
      </c>
      <c r="G45" s="6" t="s">
        <v>98</v>
      </c>
      <c r="H45" s="6" t="s">
        <v>192</v>
      </c>
      <c r="I45" s="6"/>
      <c r="J45" s="1">
        <v>500</v>
      </c>
    </row>
    <row r="46" spans="4:10" x14ac:dyDescent="0.2">
      <c r="D46" s="2">
        <v>45998</v>
      </c>
      <c r="E46" s="34" t="s">
        <v>21</v>
      </c>
      <c r="F46" s="100" t="s">
        <v>250</v>
      </c>
      <c r="G46" s="6"/>
      <c r="H46" s="6" t="s">
        <v>192</v>
      </c>
      <c r="I46" s="6"/>
      <c r="J46" s="1">
        <v>28</v>
      </c>
    </row>
    <row r="47" spans="4:10" x14ac:dyDescent="0.2">
      <c r="D47" s="2">
        <v>45999</v>
      </c>
      <c r="E47" s="34" t="s">
        <v>40</v>
      </c>
      <c r="F47" s="100" t="s">
        <v>40</v>
      </c>
      <c r="G47" s="6"/>
      <c r="H47" s="6" t="s">
        <v>192</v>
      </c>
      <c r="I47" s="6"/>
      <c r="J47" s="1">
        <v>45</v>
      </c>
    </row>
    <row r="48" spans="4:10" x14ac:dyDescent="0.2">
      <c r="D48" s="2">
        <v>45999</v>
      </c>
      <c r="E48" s="34" t="s">
        <v>21</v>
      </c>
      <c r="F48" s="100" t="s">
        <v>250</v>
      </c>
      <c r="G48" s="6"/>
      <c r="H48" s="6" t="s">
        <v>192</v>
      </c>
      <c r="I48" s="6"/>
      <c r="J48" s="1">
        <v>19</v>
      </c>
    </row>
    <row r="49" spans="4:10" x14ac:dyDescent="0.2">
      <c r="D49" s="2">
        <v>45999</v>
      </c>
      <c r="E49" s="34" t="s">
        <v>42</v>
      </c>
      <c r="F49" s="100" t="s">
        <v>42</v>
      </c>
      <c r="G49" s="6"/>
      <c r="H49" s="6" t="s">
        <v>192</v>
      </c>
      <c r="I49" s="6"/>
      <c r="J49" s="1">
        <v>122</v>
      </c>
    </row>
    <row r="50" spans="4:10" x14ac:dyDescent="0.2">
      <c r="D50" s="2">
        <v>45999</v>
      </c>
      <c r="E50" s="34" t="s">
        <v>9</v>
      </c>
      <c r="F50" s="100" t="s">
        <v>9</v>
      </c>
      <c r="G50" s="6"/>
      <c r="H50" s="6" t="s">
        <v>192</v>
      </c>
      <c r="I50" s="6"/>
      <c r="J50" s="1">
        <v>76</v>
      </c>
    </row>
    <row r="51" spans="4:10" x14ac:dyDescent="0.2">
      <c r="D51" s="2">
        <v>45999</v>
      </c>
      <c r="E51" s="34" t="s">
        <v>84</v>
      </c>
      <c r="F51" s="100" t="s">
        <v>244</v>
      </c>
      <c r="G51" s="6" t="s">
        <v>91</v>
      </c>
      <c r="H51" s="6" t="s">
        <v>192</v>
      </c>
      <c r="I51" s="6"/>
      <c r="J51" s="1">
        <v>384</v>
      </c>
    </row>
    <row r="52" spans="4:10" x14ac:dyDescent="0.2">
      <c r="D52" s="2">
        <v>46000</v>
      </c>
      <c r="E52" s="34" t="s">
        <v>42</v>
      </c>
      <c r="F52" s="100" t="s">
        <v>42</v>
      </c>
      <c r="G52" s="6"/>
      <c r="H52" s="6" t="s">
        <v>192</v>
      </c>
      <c r="I52" s="6"/>
      <c r="J52" s="1">
        <v>110</v>
      </c>
    </row>
    <row r="53" spans="4:10" x14ac:dyDescent="0.2">
      <c r="D53" s="2">
        <v>46000</v>
      </c>
      <c r="E53" s="34" t="s">
        <v>9</v>
      </c>
      <c r="F53" s="100" t="s">
        <v>9</v>
      </c>
      <c r="G53" s="6"/>
      <c r="H53" s="6" t="s">
        <v>192</v>
      </c>
      <c r="I53" s="6"/>
      <c r="J53" s="1">
        <v>40</v>
      </c>
    </row>
    <row r="54" spans="4:10" x14ac:dyDescent="0.2">
      <c r="D54" s="2">
        <v>46000</v>
      </c>
      <c r="E54" s="100" t="s">
        <v>251</v>
      </c>
      <c r="F54" s="100" t="s">
        <v>249</v>
      </c>
      <c r="G54" s="6" t="s">
        <v>89</v>
      </c>
      <c r="H54" s="6" t="s">
        <v>192</v>
      </c>
      <c r="I54" s="6"/>
      <c r="J54" s="1">
        <v>2000</v>
      </c>
    </row>
    <row r="55" spans="4:10" x14ac:dyDescent="0.2">
      <c r="D55" s="2">
        <v>46000</v>
      </c>
      <c r="E55" s="34" t="s">
        <v>40</v>
      </c>
      <c r="F55" s="100" t="s">
        <v>40</v>
      </c>
      <c r="G55" s="6"/>
      <c r="H55" s="6" t="s">
        <v>192</v>
      </c>
      <c r="I55" s="6"/>
      <c r="J55" s="1">
        <v>64</v>
      </c>
    </row>
    <row r="56" spans="4:10" x14ac:dyDescent="0.2">
      <c r="D56" s="2">
        <v>46000</v>
      </c>
      <c r="E56" s="35" t="s">
        <v>100</v>
      </c>
      <c r="F56" s="100" t="s">
        <v>241</v>
      </c>
      <c r="G56" s="6"/>
      <c r="H56" s="6" t="s">
        <v>192</v>
      </c>
      <c r="I56" s="6"/>
      <c r="J56" s="1">
        <v>150</v>
      </c>
    </row>
    <row r="57" spans="4:10" x14ac:dyDescent="0.2">
      <c r="D57" s="2">
        <v>46000</v>
      </c>
      <c r="E57" s="35" t="s">
        <v>99</v>
      </c>
      <c r="F57" s="100" t="s">
        <v>241</v>
      </c>
      <c r="G57" s="6"/>
      <c r="H57" s="6" t="s">
        <v>192</v>
      </c>
      <c r="I57" s="6"/>
      <c r="J57" s="1">
        <v>100</v>
      </c>
    </row>
    <row r="58" spans="4:10" x14ac:dyDescent="0.2">
      <c r="D58" s="2">
        <v>46001</v>
      </c>
      <c r="E58" s="35" t="s">
        <v>32</v>
      </c>
      <c r="F58" s="100" t="s">
        <v>16</v>
      </c>
      <c r="G58" s="6"/>
      <c r="H58" s="6" t="s">
        <v>192</v>
      </c>
      <c r="I58" s="6"/>
      <c r="J58" s="1">
        <v>200</v>
      </c>
    </row>
    <row r="59" spans="4:10" x14ac:dyDescent="0.2">
      <c r="D59" s="2">
        <v>46001</v>
      </c>
      <c r="E59" s="133" t="s">
        <v>241</v>
      </c>
      <c r="F59" s="100" t="s">
        <v>241</v>
      </c>
      <c r="G59" s="6"/>
      <c r="H59" s="6" t="s">
        <v>192</v>
      </c>
      <c r="I59" s="6"/>
      <c r="J59" s="1">
        <v>400</v>
      </c>
    </row>
    <row r="60" spans="4:10" x14ac:dyDescent="0.2">
      <c r="D60" s="2">
        <v>46001</v>
      </c>
      <c r="E60" s="36" t="s">
        <v>42</v>
      </c>
      <c r="F60" s="100" t="s">
        <v>42</v>
      </c>
      <c r="G60" s="6"/>
      <c r="H60" s="6" t="s">
        <v>192</v>
      </c>
      <c r="I60" s="6"/>
      <c r="J60" s="1">
        <v>94</v>
      </c>
    </row>
    <row r="61" spans="4:10" x14ac:dyDescent="0.2">
      <c r="D61" s="2">
        <v>46001</v>
      </c>
      <c r="E61" s="36" t="s">
        <v>9</v>
      </c>
      <c r="F61" s="100" t="s">
        <v>9</v>
      </c>
      <c r="G61" s="6"/>
      <c r="H61" s="6" t="s">
        <v>192</v>
      </c>
      <c r="I61" s="6"/>
      <c r="J61" s="1">
        <v>58</v>
      </c>
    </row>
    <row r="62" spans="4:10" x14ac:dyDescent="0.2">
      <c r="D62" s="2">
        <v>46002</v>
      </c>
      <c r="E62" s="37" t="s">
        <v>81</v>
      </c>
      <c r="F62" s="100" t="s">
        <v>81</v>
      </c>
      <c r="G62" s="6" t="s">
        <v>98</v>
      </c>
      <c r="H62" s="6" t="s">
        <v>192</v>
      </c>
      <c r="I62" s="6"/>
      <c r="J62" s="1">
        <v>500</v>
      </c>
    </row>
    <row r="63" spans="4:10" x14ac:dyDescent="0.2">
      <c r="D63" s="2">
        <v>46002</v>
      </c>
      <c r="E63" s="37" t="s">
        <v>42</v>
      </c>
      <c r="F63" s="100" t="s">
        <v>42</v>
      </c>
      <c r="G63" s="6"/>
      <c r="H63" s="6" t="s">
        <v>192</v>
      </c>
      <c r="I63" s="6"/>
      <c r="J63" s="1">
        <v>66</v>
      </c>
    </row>
    <row r="64" spans="4:10" x14ac:dyDescent="0.2">
      <c r="D64" s="2">
        <v>46002</v>
      </c>
      <c r="E64" s="37" t="s">
        <v>9</v>
      </c>
      <c r="F64" s="100" t="s">
        <v>9</v>
      </c>
      <c r="G64" s="6"/>
      <c r="H64" s="6" t="s">
        <v>192</v>
      </c>
      <c r="I64" s="6"/>
      <c r="J64" s="1">
        <v>100</v>
      </c>
    </row>
    <row r="65" spans="4:10" x14ac:dyDescent="0.2">
      <c r="D65" s="2">
        <v>46002</v>
      </c>
      <c r="E65" s="37" t="s">
        <v>90</v>
      </c>
      <c r="F65" s="100" t="s">
        <v>18</v>
      </c>
      <c r="G65" s="6" t="s">
        <v>271</v>
      </c>
      <c r="H65" s="6" t="s">
        <v>192</v>
      </c>
      <c r="I65" s="9"/>
      <c r="J65" s="1">
        <v>1000</v>
      </c>
    </row>
    <row r="66" spans="4:10" x14ac:dyDescent="0.2">
      <c r="D66" s="2">
        <v>46002</v>
      </c>
      <c r="E66" s="37" t="s">
        <v>42</v>
      </c>
      <c r="F66" s="100" t="s">
        <v>42</v>
      </c>
      <c r="G66" s="6" t="s">
        <v>96</v>
      </c>
      <c r="H66" s="6" t="s">
        <v>192</v>
      </c>
      <c r="I66" s="9"/>
      <c r="J66" s="1">
        <v>23</v>
      </c>
    </row>
    <row r="67" spans="4:10" x14ac:dyDescent="0.2">
      <c r="D67" s="2">
        <v>46002</v>
      </c>
      <c r="E67" s="37" t="s">
        <v>42</v>
      </c>
      <c r="F67" s="100" t="s">
        <v>42</v>
      </c>
      <c r="G67" s="6" t="s">
        <v>101</v>
      </c>
      <c r="H67" s="6" t="s">
        <v>192</v>
      </c>
      <c r="I67" s="9"/>
      <c r="J67" s="1">
        <v>20</v>
      </c>
    </row>
    <row r="68" spans="4:10" x14ac:dyDescent="0.2">
      <c r="D68" s="2">
        <v>46003</v>
      </c>
      <c r="E68" s="38" t="s">
        <v>42</v>
      </c>
      <c r="F68" s="100" t="s">
        <v>42</v>
      </c>
      <c r="G68" s="6"/>
      <c r="H68" s="6" t="s">
        <v>192</v>
      </c>
      <c r="I68" s="9"/>
      <c r="J68" s="1">
        <v>80</v>
      </c>
    </row>
    <row r="69" spans="4:10" x14ac:dyDescent="0.2">
      <c r="D69" s="2">
        <v>46003</v>
      </c>
      <c r="E69" s="38" t="s">
        <v>9</v>
      </c>
      <c r="F69" s="100" t="s">
        <v>9</v>
      </c>
      <c r="G69" s="6"/>
      <c r="H69" s="6" t="s">
        <v>192</v>
      </c>
      <c r="I69" s="9"/>
      <c r="J69" s="1">
        <v>10</v>
      </c>
    </row>
    <row r="70" spans="4:10" x14ac:dyDescent="0.2">
      <c r="D70" s="2">
        <v>46004</v>
      </c>
      <c r="E70" s="38" t="s">
        <v>102</v>
      </c>
      <c r="F70" s="100" t="s">
        <v>244</v>
      </c>
      <c r="G70" s="6"/>
      <c r="H70" s="6" t="s">
        <v>192</v>
      </c>
      <c r="I70" s="9"/>
      <c r="J70" s="1">
        <v>50</v>
      </c>
    </row>
    <row r="71" spans="4:10" x14ac:dyDescent="0.2">
      <c r="D71" s="2">
        <v>46004</v>
      </c>
      <c r="E71" s="38" t="s">
        <v>42</v>
      </c>
      <c r="F71" s="100" t="s">
        <v>42</v>
      </c>
      <c r="G71" s="6"/>
      <c r="H71" s="6" t="s">
        <v>192</v>
      </c>
      <c r="I71" s="9"/>
      <c r="J71" s="1">
        <v>102</v>
      </c>
    </row>
    <row r="72" spans="4:10" x14ac:dyDescent="0.2">
      <c r="D72" s="2">
        <v>46004</v>
      </c>
      <c r="E72" s="38" t="s">
        <v>21</v>
      </c>
      <c r="F72" s="100" t="s">
        <v>250</v>
      </c>
      <c r="G72" s="6"/>
      <c r="H72" s="6" t="s">
        <v>192</v>
      </c>
      <c r="I72" s="9"/>
      <c r="J72" s="1">
        <v>51.5</v>
      </c>
    </row>
    <row r="73" spans="4:10" x14ac:dyDescent="0.2">
      <c r="D73" s="2">
        <v>46004</v>
      </c>
      <c r="E73" s="38" t="s">
        <v>9</v>
      </c>
      <c r="F73" s="100" t="s">
        <v>9</v>
      </c>
      <c r="G73" s="6"/>
      <c r="H73" s="6" t="s">
        <v>192</v>
      </c>
      <c r="I73" s="9"/>
      <c r="J73" s="1">
        <v>71</v>
      </c>
    </row>
    <row r="74" spans="4:10" x14ac:dyDescent="0.2">
      <c r="D74" s="2">
        <v>46004</v>
      </c>
      <c r="E74" s="38" t="s">
        <v>32</v>
      </c>
      <c r="F74" s="100" t="s">
        <v>16</v>
      </c>
      <c r="G74" s="6"/>
      <c r="H74" s="6" t="s">
        <v>192</v>
      </c>
      <c r="I74" s="9"/>
      <c r="J74" s="1">
        <v>100</v>
      </c>
    </row>
    <row r="75" spans="4:10" x14ac:dyDescent="0.2">
      <c r="D75" s="2">
        <v>46004</v>
      </c>
      <c r="E75" s="38" t="s">
        <v>16</v>
      </c>
      <c r="F75" s="100" t="s">
        <v>16</v>
      </c>
      <c r="G75" s="6" t="s">
        <v>94</v>
      </c>
      <c r="H75" s="6" t="s">
        <v>192</v>
      </c>
      <c r="I75" s="9"/>
      <c r="J75" s="1">
        <v>600</v>
      </c>
    </row>
    <row r="76" spans="4:10" x14ac:dyDescent="0.2">
      <c r="D76" s="2">
        <v>46005</v>
      </c>
      <c r="E76" s="39" t="s">
        <v>42</v>
      </c>
      <c r="F76" s="100" t="s">
        <v>42</v>
      </c>
      <c r="G76" s="6"/>
      <c r="H76" s="6" t="s">
        <v>192</v>
      </c>
      <c r="I76" s="9"/>
      <c r="J76" s="1">
        <v>87.5</v>
      </c>
    </row>
    <row r="77" spans="4:10" x14ac:dyDescent="0.2">
      <c r="D77" s="2">
        <v>46005</v>
      </c>
      <c r="E77" s="39" t="s">
        <v>81</v>
      </c>
      <c r="F77" s="100" t="s">
        <v>81</v>
      </c>
      <c r="G77" s="6" t="s">
        <v>98</v>
      </c>
      <c r="H77" s="6" t="s">
        <v>192</v>
      </c>
      <c r="I77" s="9"/>
      <c r="J77" s="1">
        <v>500</v>
      </c>
    </row>
    <row r="78" spans="4:10" x14ac:dyDescent="0.2">
      <c r="D78" s="2">
        <v>46005</v>
      </c>
      <c r="E78" s="100" t="s">
        <v>251</v>
      </c>
      <c r="F78" s="100" t="s">
        <v>249</v>
      </c>
      <c r="G78" s="6" t="s">
        <v>270</v>
      </c>
      <c r="H78" s="6" t="s">
        <v>192</v>
      </c>
      <c r="I78" s="9"/>
      <c r="J78" s="1">
        <v>6560</v>
      </c>
    </row>
    <row r="79" spans="4:10" x14ac:dyDescent="0.2">
      <c r="D79" s="2">
        <v>46006</v>
      </c>
      <c r="E79" s="133" t="s">
        <v>241</v>
      </c>
      <c r="F79" s="100" t="s">
        <v>241</v>
      </c>
      <c r="G79" s="6"/>
      <c r="H79" s="6" t="s">
        <v>192</v>
      </c>
      <c r="I79" s="9"/>
      <c r="J79" s="1">
        <v>400</v>
      </c>
    </row>
    <row r="80" spans="4:10" x14ac:dyDescent="0.2">
      <c r="D80" s="2">
        <v>46006</v>
      </c>
      <c r="E80" s="40" t="s">
        <v>103</v>
      </c>
      <c r="F80" s="100" t="s">
        <v>241</v>
      </c>
      <c r="G80" s="6"/>
      <c r="H80" s="6" t="s">
        <v>192</v>
      </c>
      <c r="I80" s="9"/>
      <c r="J80" s="1">
        <v>260</v>
      </c>
    </row>
    <row r="81" spans="4:10" x14ac:dyDescent="0.2">
      <c r="D81" s="2">
        <v>46006</v>
      </c>
      <c r="E81" s="40" t="s">
        <v>104</v>
      </c>
      <c r="F81" s="100" t="s">
        <v>244</v>
      </c>
      <c r="G81" s="6"/>
      <c r="H81" s="6" t="s">
        <v>192</v>
      </c>
      <c r="I81" s="9"/>
      <c r="J81" s="1">
        <v>15</v>
      </c>
    </row>
    <row r="82" spans="4:10" x14ac:dyDescent="0.2">
      <c r="D82" s="2">
        <v>46006</v>
      </c>
      <c r="E82" s="41" t="s">
        <v>40</v>
      </c>
      <c r="F82" s="100" t="s">
        <v>40</v>
      </c>
      <c r="G82" s="6"/>
      <c r="H82" s="6" t="s">
        <v>192</v>
      </c>
      <c r="I82" s="9"/>
      <c r="J82" s="1">
        <v>50</v>
      </c>
    </row>
    <row r="83" spans="4:10" x14ac:dyDescent="0.2">
      <c r="D83" s="2">
        <v>46006</v>
      </c>
      <c r="E83" s="40" t="s">
        <v>105</v>
      </c>
      <c r="F83" s="100" t="s">
        <v>250</v>
      </c>
      <c r="G83" s="6"/>
      <c r="H83" s="6" t="s">
        <v>192</v>
      </c>
      <c r="I83" s="9"/>
      <c r="J83" s="1">
        <v>202</v>
      </c>
    </row>
    <row r="84" spans="4:10" x14ac:dyDescent="0.2">
      <c r="D84" s="2">
        <v>46006</v>
      </c>
      <c r="E84" s="40" t="s">
        <v>70</v>
      </c>
      <c r="F84" s="100" t="s">
        <v>9</v>
      </c>
      <c r="G84" s="6"/>
      <c r="H84" s="6" t="s">
        <v>192</v>
      </c>
      <c r="I84" s="9"/>
      <c r="J84" s="1">
        <v>6</v>
      </c>
    </row>
    <row r="85" spans="4:10" x14ac:dyDescent="0.2">
      <c r="D85" s="2">
        <v>46006</v>
      </c>
      <c r="E85" s="40" t="s">
        <v>42</v>
      </c>
      <c r="F85" s="100" t="s">
        <v>42</v>
      </c>
      <c r="G85" s="6"/>
      <c r="H85" s="6" t="s">
        <v>192</v>
      </c>
      <c r="I85" s="9"/>
      <c r="J85" s="1">
        <v>94</v>
      </c>
    </row>
    <row r="86" spans="4:10" x14ac:dyDescent="0.2">
      <c r="D86" s="2">
        <v>46006</v>
      </c>
      <c r="E86" s="40" t="s">
        <v>81</v>
      </c>
      <c r="F86" s="100" t="s">
        <v>81</v>
      </c>
      <c r="G86" s="6" t="s">
        <v>13</v>
      </c>
      <c r="H86" s="6" t="s">
        <v>192</v>
      </c>
      <c r="I86" s="9"/>
      <c r="J86" s="1">
        <v>50</v>
      </c>
    </row>
    <row r="87" spans="4:10" x14ac:dyDescent="0.2">
      <c r="D87" s="2">
        <v>46006</v>
      </c>
      <c r="E87" s="40" t="s">
        <v>9</v>
      </c>
      <c r="F87" s="100" t="s">
        <v>9</v>
      </c>
      <c r="G87" s="6"/>
      <c r="H87" s="6" t="s">
        <v>192</v>
      </c>
      <c r="I87" s="9"/>
      <c r="J87" s="1">
        <v>42</v>
      </c>
    </row>
    <row r="88" spans="4:10" x14ac:dyDescent="0.2">
      <c r="D88" s="2">
        <v>46006</v>
      </c>
      <c r="E88" s="40" t="s">
        <v>32</v>
      </c>
      <c r="F88" s="100" t="s">
        <v>16</v>
      </c>
      <c r="G88" s="6"/>
      <c r="H88" s="6" t="s">
        <v>192</v>
      </c>
      <c r="I88" s="9"/>
      <c r="J88" s="1">
        <v>100</v>
      </c>
    </row>
    <row r="89" spans="4:10" x14ac:dyDescent="0.2">
      <c r="D89" s="2">
        <v>46007</v>
      </c>
      <c r="E89" s="41" t="s">
        <v>40</v>
      </c>
      <c r="F89" s="100" t="s">
        <v>40</v>
      </c>
      <c r="G89" s="6"/>
      <c r="H89" s="6" t="s">
        <v>192</v>
      </c>
      <c r="I89" s="9"/>
      <c r="J89" s="1">
        <v>73</v>
      </c>
    </row>
    <row r="90" spans="4:10" x14ac:dyDescent="0.2">
      <c r="D90" s="2">
        <v>46007</v>
      </c>
      <c r="E90" s="41" t="s">
        <v>42</v>
      </c>
      <c r="F90" s="100" t="s">
        <v>42</v>
      </c>
      <c r="G90" s="6"/>
      <c r="H90" s="6" t="s">
        <v>192</v>
      </c>
      <c r="I90" s="9"/>
      <c r="J90" s="1">
        <v>80</v>
      </c>
    </row>
    <row r="91" spans="4:10" x14ac:dyDescent="0.2">
      <c r="D91" s="2">
        <v>46007</v>
      </c>
      <c r="E91" s="41" t="s">
        <v>9</v>
      </c>
      <c r="F91" s="100" t="s">
        <v>9</v>
      </c>
      <c r="G91" s="6"/>
      <c r="H91" s="6" t="s">
        <v>192</v>
      </c>
      <c r="I91" s="9"/>
      <c r="J91" s="1">
        <v>32</v>
      </c>
    </row>
    <row r="92" spans="4:10" x14ac:dyDescent="0.2">
      <c r="D92" s="2">
        <v>46007</v>
      </c>
      <c r="E92" s="41" t="s">
        <v>84</v>
      </c>
      <c r="F92" s="100" t="s">
        <v>244</v>
      </c>
      <c r="G92" s="6" t="s">
        <v>91</v>
      </c>
      <c r="H92" s="6" t="s">
        <v>192</v>
      </c>
      <c r="I92" s="9"/>
      <c r="J92" s="1">
        <v>458</v>
      </c>
    </row>
    <row r="93" spans="4:10" x14ac:dyDescent="0.2">
      <c r="D93" s="2">
        <v>46007</v>
      </c>
      <c r="E93" s="165" t="s">
        <v>315</v>
      </c>
      <c r="F93" s="6" t="s">
        <v>90</v>
      </c>
      <c r="G93" s="6" t="s">
        <v>275</v>
      </c>
      <c r="H93" s="6" t="s">
        <v>192</v>
      </c>
      <c r="I93" s="9"/>
      <c r="J93" s="1">
        <v>6000</v>
      </c>
    </row>
    <row r="94" spans="4:10" x14ac:dyDescent="0.2">
      <c r="D94" s="2">
        <v>46008</v>
      </c>
      <c r="E94" s="42" t="s">
        <v>42</v>
      </c>
      <c r="F94" s="100" t="s">
        <v>42</v>
      </c>
      <c r="G94" s="6"/>
      <c r="H94" s="6" t="s">
        <v>192</v>
      </c>
      <c r="I94" s="9"/>
      <c r="J94" s="1">
        <v>128</v>
      </c>
    </row>
    <row r="95" spans="4:10" x14ac:dyDescent="0.2">
      <c r="D95" s="2">
        <v>46008</v>
      </c>
      <c r="E95" s="42" t="s">
        <v>42</v>
      </c>
      <c r="F95" s="100" t="s">
        <v>42</v>
      </c>
      <c r="G95" s="6" t="s">
        <v>107</v>
      </c>
      <c r="H95" s="6" t="s">
        <v>192</v>
      </c>
      <c r="I95" s="9"/>
      <c r="J95" s="1">
        <v>53.5</v>
      </c>
    </row>
    <row r="96" spans="4:10" x14ac:dyDescent="0.2">
      <c r="D96" s="2">
        <v>46008</v>
      </c>
      <c r="E96" s="42" t="s">
        <v>9</v>
      </c>
      <c r="F96" s="100" t="s">
        <v>9</v>
      </c>
      <c r="G96" s="6"/>
      <c r="H96" s="6" t="s">
        <v>192</v>
      </c>
      <c r="I96" s="9"/>
      <c r="J96" s="1">
        <v>62</v>
      </c>
    </row>
    <row r="97" spans="4:10" x14ac:dyDescent="0.2">
      <c r="D97" s="2">
        <v>46008</v>
      </c>
      <c r="E97" s="42" t="s">
        <v>16</v>
      </c>
      <c r="F97" s="100" t="s">
        <v>16</v>
      </c>
      <c r="G97" s="6" t="s">
        <v>72</v>
      </c>
      <c r="H97" s="6" t="s">
        <v>192</v>
      </c>
      <c r="I97" s="9"/>
      <c r="J97" s="1">
        <v>600</v>
      </c>
    </row>
    <row r="98" spans="4:10" x14ac:dyDescent="0.2">
      <c r="D98" s="2">
        <v>46008</v>
      </c>
      <c r="E98" s="42" t="s">
        <v>32</v>
      </c>
      <c r="F98" s="100" t="s">
        <v>16</v>
      </c>
      <c r="G98" s="6" t="s">
        <v>106</v>
      </c>
      <c r="H98" s="6" t="s">
        <v>192</v>
      </c>
      <c r="I98" s="9"/>
      <c r="J98" s="1">
        <v>300</v>
      </c>
    </row>
    <row r="99" spans="4:10" x14ac:dyDescent="0.2">
      <c r="D99" s="2">
        <v>46009</v>
      </c>
      <c r="E99" s="43" t="s">
        <v>42</v>
      </c>
      <c r="F99" s="100" t="s">
        <v>42</v>
      </c>
      <c r="G99" s="6"/>
      <c r="H99" s="6" t="s">
        <v>192</v>
      </c>
      <c r="I99" s="9"/>
      <c r="J99" s="1">
        <v>108</v>
      </c>
    </row>
    <row r="100" spans="4:10" x14ac:dyDescent="0.2">
      <c r="D100" s="2">
        <v>46009</v>
      </c>
      <c r="E100" s="43" t="s">
        <v>16</v>
      </c>
      <c r="F100" s="100" t="s">
        <v>16</v>
      </c>
      <c r="G100" s="6" t="s">
        <v>72</v>
      </c>
      <c r="H100" s="6" t="s">
        <v>192</v>
      </c>
      <c r="I100" s="9"/>
      <c r="J100" s="1">
        <v>2000</v>
      </c>
    </row>
    <row r="101" spans="4:10" x14ac:dyDescent="0.2">
      <c r="D101" s="2">
        <v>46009</v>
      </c>
      <c r="E101" s="43" t="s">
        <v>108</v>
      </c>
      <c r="F101" s="128" t="s">
        <v>5</v>
      </c>
      <c r="G101" s="6"/>
      <c r="H101" s="6" t="s">
        <v>192</v>
      </c>
      <c r="I101" s="9">
        <v>700</v>
      </c>
      <c r="J101" s="1">
        <v>-700</v>
      </c>
    </row>
    <row r="102" spans="4:10" x14ac:dyDescent="0.2">
      <c r="D102" s="2">
        <v>46009</v>
      </c>
      <c r="E102" s="43" t="s">
        <v>109</v>
      </c>
      <c r="F102" s="100" t="s">
        <v>42</v>
      </c>
      <c r="G102" s="6" t="s">
        <v>107</v>
      </c>
      <c r="H102" s="6" t="s">
        <v>192</v>
      </c>
      <c r="I102" s="9"/>
      <c r="J102" s="1">
        <v>150</v>
      </c>
    </row>
    <row r="103" spans="4:10" x14ac:dyDescent="0.2">
      <c r="D103" s="2">
        <v>46009</v>
      </c>
      <c r="E103" s="43" t="s">
        <v>42</v>
      </c>
      <c r="F103" s="100" t="s">
        <v>42</v>
      </c>
      <c r="G103" s="6" t="s">
        <v>18</v>
      </c>
      <c r="H103" s="6" t="s">
        <v>192</v>
      </c>
      <c r="I103" s="9"/>
      <c r="J103" s="1">
        <v>50</v>
      </c>
    </row>
    <row r="104" spans="4:10" x14ac:dyDescent="0.2">
      <c r="D104" s="2">
        <v>46009</v>
      </c>
      <c r="E104" s="44" t="s">
        <v>9</v>
      </c>
      <c r="F104" s="100" t="s">
        <v>9</v>
      </c>
      <c r="G104" s="6"/>
      <c r="H104" s="6" t="s">
        <v>192</v>
      </c>
      <c r="I104" s="9"/>
      <c r="J104" s="1">
        <v>85</v>
      </c>
    </row>
    <row r="105" spans="4:10" x14ac:dyDescent="0.2">
      <c r="D105" s="2">
        <v>46009</v>
      </c>
      <c r="E105" s="44" t="s">
        <v>21</v>
      </c>
      <c r="F105" s="100" t="s">
        <v>250</v>
      </c>
      <c r="G105" s="6"/>
      <c r="H105" s="6" t="s">
        <v>192</v>
      </c>
      <c r="I105" s="9"/>
      <c r="J105" s="1">
        <v>30</v>
      </c>
    </row>
    <row r="106" spans="4:10" x14ac:dyDescent="0.2">
      <c r="D106" s="2">
        <v>46009</v>
      </c>
      <c r="E106" s="100" t="s">
        <v>90</v>
      </c>
      <c r="F106" s="6" t="s">
        <v>18</v>
      </c>
      <c r="G106" s="6" t="s">
        <v>271</v>
      </c>
      <c r="H106" s="6" t="s">
        <v>192</v>
      </c>
      <c r="I106" s="9"/>
      <c r="J106" s="1">
        <v>5000</v>
      </c>
    </row>
    <row r="107" spans="4:10" x14ac:dyDescent="0.2">
      <c r="D107" s="2">
        <v>46010</v>
      </c>
      <c r="E107" s="44" t="s">
        <v>42</v>
      </c>
      <c r="F107" s="100" t="s">
        <v>42</v>
      </c>
      <c r="G107" s="6"/>
      <c r="H107" s="6" t="s">
        <v>192</v>
      </c>
      <c r="I107" s="9"/>
      <c r="J107" s="1">
        <v>114</v>
      </c>
    </row>
    <row r="108" spans="4:10" x14ac:dyDescent="0.2">
      <c r="D108" s="2">
        <v>46010</v>
      </c>
      <c r="E108" s="44" t="s">
        <v>21</v>
      </c>
      <c r="F108" s="100" t="s">
        <v>250</v>
      </c>
      <c r="G108" s="6"/>
      <c r="H108" s="6" t="s">
        <v>192</v>
      </c>
      <c r="I108" s="9"/>
      <c r="J108" s="1">
        <v>22.5</v>
      </c>
    </row>
    <row r="109" spans="4:10" x14ac:dyDescent="0.2">
      <c r="D109" s="2">
        <v>46010</v>
      </c>
      <c r="E109" s="44" t="s">
        <v>81</v>
      </c>
      <c r="F109" s="100" t="s">
        <v>81</v>
      </c>
      <c r="G109" s="6" t="s">
        <v>13</v>
      </c>
      <c r="H109" s="6" t="s">
        <v>192</v>
      </c>
      <c r="I109" s="9"/>
      <c r="J109" s="1">
        <v>50</v>
      </c>
    </row>
    <row r="110" spans="4:10" x14ac:dyDescent="0.2">
      <c r="D110" s="2">
        <v>46010</v>
      </c>
      <c r="E110" s="44" t="s">
        <v>9</v>
      </c>
      <c r="F110" s="100" t="s">
        <v>9</v>
      </c>
      <c r="G110" s="6"/>
      <c r="H110" s="6" t="s">
        <v>192</v>
      </c>
      <c r="I110" s="9"/>
      <c r="J110" s="1">
        <v>26</v>
      </c>
    </row>
    <row r="111" spans="4:10" x14ac:dyDescent="0.2">
      <c r="D111" s="2">
        <v>46010</v>
      </c>
      <c r="E111" s="133" t="s">
        <v>241</v>
      </c>
      <c r="F111" s="100" t="s">
        <v>241</v>
      </c>
      <c r="G111" s="6"/>
      <c r="H111" s="6" t="s">
        <v>192</v>
      </c>
      <c r="I111" s="9"/>
      <c r="J111" s="1">
        <v>100</v>
      </c>
    </row>
    <row r="112" spans="4:10" x14ac:dyDescent="0.2">
      <c r="D112" s="2">
        <v>46011</v>
      </c>
      <c r="E112" s="44" t="s">
        <v>42</v>
      </c>
      <c r="F112" s="100" t="s">
        <v>42</v>
      </c>
      <c r="G112" s="6"/>
      <c r="H112" s="6" t="s">
        <v>192</v>
      </c>
      <c r="I112" s="9"/>
      <c r="J112" s="1">
        <v>80</v>
      </c>
    </row>
    <row r="113" spans="4:10" x14ac:dyDescent="0.2">
      <c r="D113" s="2">
        <v>46011</v>
      </c>
      <c r="E113" s="44" t="s">
        <v>21</v>
      </c>
      <c r="F113" s="100" t="s">
        <v>250</v>
      </c>
      <c r="G113" s="6"/>
      <c r="H113" s="6" t="s">
        <v>192</v>
      </c>
      <c r="I113" s="9"/>
      <c r="J113" s="1">
        <v>15</v>
      </c>
    </row>
    <row r="114" spans="4:10" x14ac:dyDescent="0.2">
      <c r="D114" s="2">
        <v>46011</v>
      </c>
      <c r="E114" s="44" t="s">
        <v>9</v>
      </c>
      <c r="F114" s="100" t="s">
        <v>9</v>
      </c>
      <c r="G114" s="6"/>
      <c r="H114" s="6" t="s">
        <v>192</v>
      </c>
      <c r="I114" s="9"/>
      <c r="J114" s="1">
        <v>83</v>
      </c>
    </row>
    <row r="115" spans="4:10" x14ac:dyDescent="0.2">
      <c r="D115" s="2">
        <v>46011</v>
      </c>
      <c r="E115" s="100" t="s">
        <v>272</v>
      </c>
      <c r="F115" s="100" t="s">
        <v>98</v>
      </c>
      <c r="G115" s="6"/>
      <c r="H115" s="6" t="s">
        <v>192</v>
      </c>
      <c r="I115" s="9"/>
      <c r="J115" s="1">
        <v>300</v>
      </c>
    </row>
    <row r="116" spans="4:10" x14ac:dyDescent="0.2">
      <c r="D116" s="2">
        <v>46011</v>
      </c>
      <c r="E116" s="100" t="s">
        <v>90</v>
      </c>
      <c r="F116" s="6" t="s">
        <v>18</v>
      </c>
      <c r="G116" s="6" t="s">
        <v>273</v>
      </c>
      <c r="H116" s="6" t="s">
        <v>192</v>
      </c>
      <c r="I116" s="9"/>
      <c r="J116" s="1">
        <v>11000</v>
      </c>
    </row>
    <row r="117" spans="4:10" x14ac:dyDescent="0.2">
      <c r="D117" s="2">
        <v>46012</v>
      </c>
      <c r="E117" s="45" t="s">
        <v>42</v>
      </c>
      <c r="F117" s="100" t="s">
        <v>42</v>
      </c>
      <c r="G117" s="6"/>
      <c r="H117" s="6" t="s">
        <v>192</v>
      </c>
      <c r="I117" s="9"/>
      <c r="J117" s="1">
        <v>66</v>
      </c>
    </row>
    <row r="118" spans="4:10" x14ac:dyDescent="0.2">
      <c r="D118" s="2">
        <v>46012</v>
      </c>
      <c r="E118" s="45" t="s">
        <v>81</v>
      </c>
      <c r="F118" s="100" t="s">
        <v>81</v>
      </c>
      <c r="G118" s="6" t="s">
        <v>13</v>
      </c>
      <c r="H118" s="6" t="s">
        <v>192</v>
      </c>
      <c r="I118" s="9"/>
      <c r="J118" s="1">
        <v>91</v>
      </c>
    </row>
    <row r="119" spans="4:10" x14ac:dyDescent="0.2">
      <c r="D119" s="2">
        <v>46012</v>
      </c>
      <c r="E119" s="45" t="s">
        <v>42</v>
      </c>
      <c r="F119" s="100" t="s">
        <v>42</v>
      </c>
      <c r="G119" s="6"/>
      <c r="H119" s="6" t="s">
        <v>192</v>
      </c>
      <c r="I119" s="9"/>
      <c r="J119" s="1">
        <v>50</v>
      </c>
    </row>
    <row r="120" spans="4:10" x14ac:dyDescent="0.2">
      <c r="D120" s="2">
        <v>46012</v>
      </c>
      <c r="E120" s="45" t="s">
        <v>9</v>
      </c>
      <c r="F120" s="100" t="s">
        <v>9</v>
      </c>
      <c r="G120" s="6"/>
      <c r="H120" s="6" t="s">
        <v>192</v>
      </c>
      <c r="I120" s="9"/>
      <c r="J120" s="1">
        <v>18</v>
      </c>
    </row>
    <row r="121" spans="4:10" x14ac:dyDescent="0.2">
      <c r="D121" s="2">
        <v>46012</v>
      </c>
      <c r="E121" s="47" t="s">
        <v>16</v>
      </c>
      <c r="F121" s="100" t="s">
        <v>16</v>
      </c>
      <c r="G121" s="6" t="s">
        <v>94</v>
      </c>
      <c r="H121" s="6" t="s">
        <v>192</v>
      </c>
      <c r="I121" s="9"/>
      <c r="J121" s="1">
        <v>500</v>
      </c>
    </row>
    <row r="122" spans="4:10" x14ac:dyDescent="0.2">
      <c r="D122" s="2">
        <v>46013</v>
      </c>
      <c r="E122" s="45" t="s">
        <v>42</v>
      </c>
      <c r="F122" s="100" t="s">
        <v>42</v>
      </c>
      <c r="G122" s="6"/>
      <c r="H122" s="6" t="s">
        <v>192</v>
      </c>
      <c r="I122" s="9"/>
      <c r="J122" s="1">
        <v>94</v>
      </c>
    </row>
    <row r="123" spans="4:10" x14ac:dyDescent="0.2">
      <c r="D123" s="2">
        <v>46013</v>
      </c>
      <c r="E123" s="45" t="s">
        <v>85</v>
      </c>
      <c r="F123" s="100" t="s">
        <v>244</v>
      </c>
      <c r="G123" s="6"/>
      <c r="H123" s="6" t="s">
        <v>192</v>
      </c>
      <c r="I123" s="9"/>
      <c r="J123" s="1">
        <v>33</v>
      </c>
    </row>
    <row r="124" spans="4:10" x14ac:dyDescent="0.2">
      <c r="D124" s="2">
        <v>46013</v>
      </c>
      <c r="E124" s="100" t="s">
        <v>274</v>
      </c>
      <c r="F124" s="100" t="s">
        <v>244</v>
      </c>
      <c r="G124" s="6"/>
      <c r="H124" s="6" t="s">
        <v>192</v>
      </c>
      <c r="I124" s="9"/>
      <c r="J124" s="1">
        <v>37.5</v>
      </c>
    </row>
    <row r="125" spans="4:10" x14ac:dyDescent="0.2">
      <c r="D125" s="2">
        <v>46013</v>
      </c>
      <c r="E125" s="45" t="s">
        <v>40</v>
      </c>
      <c r="F125" s="100" t="s">
        <v>40</v>
      </c>
      <c r="G125" s="6"/>
      <c r="H125" s="6" t="s">
        <v>192</v>
      </c>
      <c r="I125" s="9"/>
      <c r="J125" s="1">
        <v>56.5</v>
      </c>
    </row>
    <row r="126" spans="4:10" x14ac:dyDescent="0.2">
      <c r="D126" s="2">
        <v>46013</v>
      </c>
      <c r="E126" s="45" t="s">
        <v>9</v>
      </c>
      <c r="F126" s="100" t="s">
        <v>9</v>
      </c>
      <c r="G126" s="6"/>
      <c r="H126" s="6" t="s">
        <v>192</v>
      </c>
      <c r="I126" s="9"/>
      <c r="J126" s="1">
        <v>23</v>
      </c>
    </row>
    <row r="127" spans="4:10" x14ac:dyDescent="0.2">
      <c r="D127" s="2">
        <v>46014</v>
      </c>
      <c r="E127" s="45" t="s">
        <v>81</v>
      </c>
      <c r="F127" s="100" t="s">
        <v>81</v>
      </c>
      <c r="G127" s="6" t="s">
        <v>98</v>
      </c>
      <c r="H127" s="6" t="s">
        <v>192</v>
      </c>
      <c r="I127" s="9"/>
      <c r="J127" s="1">
        <v>500</v>
      </c>
    </row>
    <row r="128" spans="4:10" x14ac:dyDescent="0.2">
      <c r="D128" s="2">
        <v>46014</v>
      </c>
      <c r="E128" s="46" t="s">
        <v>40</v>
      </c>
      <c r="F128" s="100" t="s">
        <v>40</v>
      </c>
      <c r="G128" s="6"/>
      <c r="H128" s="6" t="s">
        <v>192</v>
      </c>
      <c r="I128" s="9"/>
      <c r="J128" s="1">
        <v>45</v>
      </c>
    </row>
    <row r="129" spans="4:10" x14ac:dyDescent="0.2">
      <c r="D129" s="2">
        <v>46014</v>
      </c>
      <c r="E129" s="46" t="s">
        <v>42</v>
      </c>
      <c r="F129" s="100" t="s">
        <v>42</v>
      </c>
      <c r="G129" s="6"/>
      <c r="H129" s="6" t="s">
        <v>192</v>
      </c>
      <c r="I129" s="9"/>
      <c r="J129" s="1">
        <v>80</v>
      </c>
    </row>
    <row r="130" spans="4:10" x14ac:dyDescent="0.2">
      <c r="D130" s="2">
        <v>46014</v>
      </c>
      <c r="E130" s="46" t="s">
        <v>9</v>
      </c>
      <c r="F130" s="100" t="s">
        <v>9</v>
      </c>
      <c r="G130" s="6"/>
      <c r="H130" s="6" t="s">
        <v>192</v>
      </c>
      <c r="I130" s="9"/>
      <c r="J130" s="1">
        <v>19</v>
      </c>
    </row>
    <row r="131" spans="4:10" x14ac:dyDescent="0.2">
      <c r="D131" s="2">
        <v>46015</v>
      </c>
      <c r="E131" s="46" t="s">
        <v>110</v>
      </c>
      <c r="F131" s="100" t="s">
        <v>244</v>
      </c>
      <c r="G131" s="6"/>
      <c r="H131" s="6" t="s">
        <v>192</v>
      </c>
      <c r="I131" s="9"/>
      <c r="J131" s="1">
        <v>140</v>
      </c>
    </row>
    <row r="132" spans="4:10" x14ac:dyDescent="0.2">
      <c r="D132" s="2">
        <v>46015</v>
      </c>
      <c r="E132" s="46" t="s">
        <v>42</v>
      </c>
      <c r="F132" s="100" t="s">
        <v>42</v>
      </c>
      <c r="G132" s="6"/>
      <c r="H132" s="6" t="s">
        <v>192</v>
      </c>
      <c r="I132" s="9"/>
      <c r="J132" s="1">
        <v>108</v>
      </c>
    </row>
    <row r="133" spans="4:10" x14ac:dyDescent="0.2">
      <c r="D133" s="2">
        <v>46015</v>
      </c>
      <c r="E133" s="100" t="s">
        <v>245</v>
      </c>
      <c r="F133" s="100" t="s">
        <v>244</v>
      </c>
      <c r="G133" s="6"/>
      <c r="H133" s="6" t="s">
        <v>192</v>
      </c>
      <c r="I133" s="9"/>
      <c r="J133" s="1">
        <v>300</v>
      </c>
    </row>
    <row r="134" spans="4:10" x14ac:dyDescent="0.2">
      <c r="D134" s="2">
        <v>46015</v>
      </c>
      <c r="E134" s="46" t="s">
        <v>21</v>
      </c>
      <c r="F134" s="100" t="s">
        <v>250</v>
      </c>
      <c r="G134" s="6"/>
      <c r="H134" s="6" t="s">
        <v>192</v>
      </c>
      <c r="I134" s="9"/>
      <c r="J134" s="1">
        <v>25</v>
      </c>
    </row>
    <row r="135" spans="4:10" x14ac:dyDescent="0.2">
      <c r="D135" s="2">
        <v>46015</v>
      </c>
      <c r="E135" s="46" t="s">
        <v>9</v>
      </c>
      <c r="F135" s="100" t="s">
        <v>9</v>
      </c>
      <c r="G135" s="6"/>
      <c r="H135" s="6" t="s">
        <v>192</v>
      </c>
      <c r="I135" s="9"/>
      <c r="J135" s="1">
        <v>65</v>
      </c>
    </row>
    <row r="136" spans="4:10" x14ac:dyDescent="0.2">
      <c r="D136" s="2">
        <v>46016</v>
      </c>
      <c r="E136" s="46" t="s">
        <v>111</v>
      </c>
      <c r="F136" s="100" t="s">
        <v>244</v>
      </c>
      <c r="G136" s="6"/>
      <c r="H136" s="6" t="s">
        <v>192</v>
      </c>
      <c r="I136" s="9"/>
      <c r="J136" s="1">
        <v>115</v>
      </c>
    </row>
    <row r="137" spans="4:10" x14ac:dyDescent="0.2">
      <c r="D137" s="2">
        <v>46016</v>
      </c>
      <c r="E137" s="46" t="s">
        <v>112</v>
      </c>
      <c r="F137" s="100" t="s">
        <v>244</v>
      </c>
      <c r="G137" s="6"/>
      <c r="H137" s="6" t="s">
        <v>192</v>
      </c>
      <c r="I137" s="9"/>
      <c r="J137" s="1">
        <v>104</v>
      </c>
    </row>
    <row r="138" spans="4:10" x14ac:dyDescent="0.2">
      <c r="D138" s="2">
        <v>46016</v>
      </c>
      <c r="E138" s="46" t="s">
        <v>113</v>
      </c>
      <c r="F138" s="100" t="s">
        <v>241</v>
      </c>
      <c r="G138" s="6"/>
      <c r="H138" s="6" t="s">
        <v>192</v>
      </c>
      <c r="I138" s="9"/>
      <c r="J138" s="1">
        <v>45</v>
      </c>
    </row>
    <row r="139" spans="4:10" x14ac:dyDescent="0.2">
      <c r="D139" s="2">
        <v>46016</v>
      </c>
      <c r="E139" s="46" t="s">
        <v>42</v>
      </c>
      <c r="F139" s="100" t="s">
        <v>42</v>
      </c>
      <c r="G139" s="6"/>
      <c r="H139" s="6" t="s">
        <v>192</v>
      </c>
      <c r="I139" s="9"/>
      <c r="J139" s="1">
        <v>80</v>
      </c>
    </row>
    <row r="140" spans="4:10" x14ac:dyDescent="0.2">
      <c r="D140" s="2">
        <v>46016</v>
      </c>
      <c r="E140" s="46" t="s">
        <v>9</v>
      </c>
      <c r="F140" s="100" t="s">
        <v>9</v>
      </c>
      <c r="G140" s="6"/>
      <c r="H140" s="6" t="s">
        <v>192</v>
      </c>
      <c r="I140" s="9"/>
      <c r="J140" s="1">
        <v>9</v>
      </c>
    </row>
    <row r="141" spans="4:10" x14ac:dyDescent="0.2">
      <c r="D141" s="2">
        <v>46016</v>
      </c>
      <c r="E141" s="46" t="s">
        <v>16</v>
      </c>
      <c r="F141" s="100" t="s">
        <v>16</v>
      </c>
      <c r="G141" s="6" t="s">
        <v>114</v>
      </c>
      <c r="H141" s="6" t="s">
        <v>192</v>
      </c>
      <c r="I141" s="9"/>
      <c r="J141" s="1">
        <v>200</v>
      </c>
    </row>
    <row r="142" spans="4:10" x14ac:dyDescent="0.2">
      <c r="D142" s="2">
        <v>46016</v>
      </c>
      <c r="E142" s="46" t="s">
        <v>32</v>
      </c>
      <c r="F142" s="100" t="s">
        <v>16</v>
      </c>
      <c r="G142" s="6"/>
      <c r="H142" s="6" t="s">
        <v>192</v>
      </c>
      <c r="I142" s="9"/>
      <c r="J142" s="1">
        <v>100</v>
      </c>
    </row>
    <row r="143" spans="4:10" x14ac:dyDescent="0.2">
      <c r="D143" s="2">
        <v>46017</v>
      </c>
      <c r="E143" s="47" t="s">
        <v>42</v>
      </c>
      <c r="F143" s="100" t="s">
        <v>42</v>
      </c>
      <c r="G143" s="6"/>
      <c r="H143" s="6" t="s">
        <v>192</v>
      </c>
      <c r="I143" s="9"/>
      <c r="J143" s="1">
        <v>188</v>
      </c>
    </row>
    <row r="144" spans="4:10" x14ac:dyDescent="0.2">
      <c r="D144" s="2">
        <v>46017</v>
      </c>
      <c r="E144" s="47" t="s">
        <v>111</v>
      </c>
      <c r="F144" s="100" t="s">
        <v>244</v>
      </c>
      <c r="G144" s="6"/>
      <c r="H144" s="6" t="s">
        <v>192</v>
      </c>
      <c r="I144" s="9"/>
      <c r="J144" s="1">
        <v>52.5</v>
      </c>
    </row>
    <row r="145" spans="4:10" x14ac:dyDescent="0.2">
      <c r="D145" s="2">
        <v>46018</v>
      </c>
      <c r="E145" s="47" t="s">
        <v>42</v>
      </c>
      <c r="F145" s="100" t="s">
        <v>42</v>
      </c>
      <c r="G145" s="6"/>
      <c r="H145" s="6" t="s">
        <v>192</v>
      </c>
      <c r="I145" s="9"/>
      <c r="J145" s="1">
        <v>122</v>
      </c>
    </row>
    <row r="146" spans="4:10" x14ac:dyDescent="0.2">
      <c r="D146" s="2">
        <v>46018</v>
      </c>
      <c r="E146" s="47" t="s">
        <v>111</v>
      </c>
      <c r="F146" s="100" t="s">
        <v>244</v>
      </c>
      <c r="G146" s="6"/>
      <c r="H146" s="6" t="s">
        <v>192</v>
      </c>
      <c r="I146" s="9"/>
      <c r="J146" s="1">
        <v>50</v>
      </c>
    </row>
    <row r="147" spans="4:10" x14ac:dyDescent="0.2">
      <c r="D147" s="2">
        <v>46018</v>
      </c>
      <c r="E147" s="47" t="s">
        <v>16</v>
      </c>
      <c r="F147" s="100" t="s">
        <v>16</v>
      </c>
      <c r="G147" s="6" t="s">
        <v>114</v>
      </c>
      <c r="H147" s="6" t="s">
        <v>192</v>
      </c>
      <c r="I147" s="9"/>
      <c r="J147" s="1">
        <v>200</v>
      </c>
    </row>
    <row r="148" spans="4:10" x14ac:dyDescent="0.2">
      <c r="D148" s="2">
        <v>46018</v>
      </c>
      <c r="E148" s="100" t="s">
        <v>159</v>
      </c>
      <c r="F148" s="100" t="s">
        <v>159</v>
      </c>
      <c r="G148" s="6"/>
      <c r="H148" s="6" t="s">
        <v>192</v>
      </c>
      <c r="I148" s="9"/>
      <c r="J148" s="1">
        <v>3200</v>
      </c>
    </row>
    <row r="149" spans="4:10" x14ac:dyDescent="0.2">
      <c r="D149" s="2">
        <v>46018</v>
      </c>
      <c r="E149" s="47" t="s">
        <v>81</v>
      </c>
      <c r="F149" s="100" t="s">
        <v>81</v>
      </c>
      <c r="G149" s="6" t="s">
        <v>98</v>
      </c>
      <c r="H149" s="6" t="s">
        <v>192</v>
      </c>
      <c r="I149" s="9"/>
      <c r="J149" s="1">
        <v>500</v>
      </c>
    </row>
    <row r="150" spans="4:10" x14ac:dyDescent="0.2">
      <c r="D150" s="2">
        <v>46018</v>
      </c>
      <c r="E150" s="47" t="s">
        <v>115</v>
      </c>
      <c r="F150" s="100" t="s">
        <v>16</v>
      </c>
      <c r="G150" s="6"/>
      <c r="H150" s="6" t="s">
        <v>192</v>
      </c>
      <c r="I150" s="9"/>
      <c r="J150" s="1">
        <v>415</v>
      </c>
    </row>
    <row r="151" spans="4:10" x14ac:dyDescent="0.2">
      <c r="D151" s="2">
        <v>46018</v>
      </c>
      <c r="E151" s="47" t="s">
        <v>81</v>
      </c>
      <c r="F151" s="100" t="s">
        <v>81</v>
      </c>
      <c r="G151" s="6" t="s">
        <v>13</v>
      </c>
      <c r="H151" s="6" t="s">
        <v>192</v>
      </c>
      <c r="I151" s="9"/>
      <c r="J151" s="1">
        <v>50</v>
      </c>
    </row>
    <row r="152" spans="4:10" x14ac:dyDescent="0.2">
      <c r="D152" s="2">
        <v>46018</v>
      </c>
      <c r="E152" s="47" t="s">
        <v>9</v>
      </c>
      <c r="F152" s="100" t="s">
        <v>9</v>
      </c>
      <c r="G152" s="6"/>
      <c r="H152" s="6" t="s">
        <v>192</v>
      </c>
      <c r="I152" s="9"/>
      <c r="J152" s="1">
        <v>60</v>
      </c>
    </row>
    <row r="153" spans="4:10" x14ac:dyDescent="0.2">
      <c r="D153" s="2">
        <v>46019</v>
      </c>
      <c r="E153" s="47" t="s">
        <v>42</v>
      </c>
      <c r="F153" s="100" t="s">
        <v>42</v>
      </c>
      <c r="G153" s="6"/>
      <c r="H153" s="6" t="s">
        <v>192</v>
      </c>
      <c r="I153" s="9"/>
      <c r="J153" s="1">
        <v>122</v>
      </c>
    </row>
    <row r="154" spans="4:10" x14ac:dyDescent="0.2">
      <c r="D154" s="2">
        <v>46019</v>
      </c>
      <c r="E154" s="47" t="s">
        <v>21</v>
      </c>
      <c r="F154" s="128" t="s">
        <v>250</v>
      </c>
      <c r="G154" s="6"/>
      <c r="H154" s="6" t="s">
        <v>192</v>
      </c>
      <c r="I154" s="9"/>
      <c r="J154" s="1">
        <v>90</v>
      </c>
    </row>
    <row r="155" spans="4:10" x14ac:dyDescent="0.2">
      <c r="D155" s="2">
        <v>46019</v>
      </c>
      <c r="E155" s="47" t="s">
        <v>40</v>
      </c>
      <c r="F155" s="100" t="s">
        <v>40</v>
      </c>
      <c r="G155" s="6"/>
      <c r="H155" s="6" t="s">
        <v>192</v>
      </c>
      <c r="I155" s="9"/>
      <c r="J155" s="1">
        <v>32</v>
      </c>
    </row>
    <row r="156" spans="4:10" x14ac:dyDescent="0.2">
      <c r="D156" s="2">
        <v>46019</v>
      </c>
      <c r="E156" s="47" t="s">
        <v>9</v>
      </c>
      <c r="F156" s="100" t="s">
        <v>9</v>
      </c>
      <c r="G156" s="6"/>
      <c r="H156" s="6" t="s">
        <v>192</v>
      </c>
      <c r="I156" s="9"/>
      <c r="J156" s="1">
        <v>105</v>
      </c>
    </row>
    <row r="157" spans="4:10" x14ac:dyDescent="0.2">
      <c r="D157" s="2">
        <v>46019</v>
      </c>
      <c r="E157" s="47" t="s">
        <v>16</v>
      </c>
      <c r="F157" s="100" t="s">
        <v>16</v>
      </c>
      <c r="G157" s="6" t="s">
        <v>114</v>
      </c>
      <c r="H157" s="6" t="s">
        <v>192</v>
      </c>
      <c r="I157" s="9"/>
      <c r="J157" s="1">
        <v>250</v>
      </c>
    </row>
    <row r="158" spans="4:10" x14ac:dyDescent="0.2">
      <c r="D158" s="2">
        <v>46020</v>
      </c>
      <c r="E158" s="47" t="s">
        <v>42</v>
      </c>
      <c r="F158" s="100" t="s">
        <v>42</v>
      </c>
      <c r="G158" s="6"/>
      <c r="H158" s="6" t="s">
        <v>192</v>
      </c>
      <c r="I158" s="9"/>
      <c r="J158" s="1">
        <v>202</v>
      </c>
    </row>
    <row r="159" spans="4:10" x14ac:dyDescent="0.2">
      <c r="D159" s="2">
        <v>46020</v>
      </c>
      <c r="E159" s="47" t="s">
        <v>85</v>
      </c>
      <c r="F159" s="100" t="s">
        <v>244</v>
      </c>
      <c r="G159" s="6"/>
      <c r="H159" s="6" t="s">
        <v>192</v>
      </c>
      <c r="I159" s="9"/>
      <c r="J159" s="1">
        <v>47</v>
      </c>
    </row>
    <row r="160" spans="4:10" x14ac:dyDescent="0.2">
      <c r="D160" s="2">
        <v>46020</v>
      </c>
      <c r="E160" s="47" t="s">
        <v>116</v>
      </c>
      <c r="F160" s="100" t="s">
        <v>161</v>
      </c>
      <c r="G160" s="6"/>
      <c r="H160" s="6" t="s">
        <v>192</v>
      </c>
      <c r="I160" s="9"/>
      <c r="J160" s="1">
        <v>60</v>
      </c>
    </row>
    <row r="161" spans="4:10" x14ac:dyDescent="0.2">
      <c r="D161" s="2">
        <v>46020</v>
      </c>
      <c r="E161" s="47" t="s">
        <v>9</v>
      </c>
      <c r="F161" s="100" t="s">
        <v>9</v>
      </c>
      <c r="G161" s="6"/>
      <c r="H161" s="6" t="s">
        <v>192</v>
      </c>
      <c r="I161" s="9"/>
      <c r="J161" s="1">
        <v>15.5</v>
      </c>
    </row>
    <row r="162" spans="4:10" x14ac:dyDescent="0.2">
      <c r="D162" s="2">
        <v>46021</v>
      </c>
      <c r="E162" s="47" t="s">
        <v>42</v>
      </c>
      <c r="F162" s="100" t="s">
        <v>42</v>
      </c>
      <c r="G162" s="6"/>
      <c r="H162" s="6" t="s">
        <v>192</v>
      </c>
      <c r="I162" s="9"/>
      <c r="J162" s="1">
        <v>174</v>
      </c>
    </row>
    <row r="163" spans="4:10" x14ac:dyDescent="0.2">
      <c r="D163" s="2">
        <v>46021</v>
      </c>
      <c r="E163" s="47" t="s">
        <v>40</v>
      </c>
      <c r="F163" s="100" t="s">
        <v>40</v>
      </c>
      <c r="G163" s="6"/>
      <c r="H163" s="6" t="s">
        <v>192</v>
      </c>
      <c r="I163" s="9"/>
      <c r="J163" s="1">
        <v>50</v>
      </c>
    </row>
    <row r="164" spans="4:10" x14ac:dyDescent="0.2">
      <c r="D164" s="2">
        <v>46021</v>
      </c>
      <c r="E164" s="47" t="s">
        <v>81</v>
      </c>
      <c r="F164" s="100" t="s">
        <v>81</v>
      </c>
      <c r="G164" s="6" t="s">
        <v>98</v>
      </c>
      <c r="H164" s="6" t="s">
        <v>192</v>
      </c>
      <c r="I164" s="9"/>
      <c r="J164" s="1">
        <v>500</v>
      </c>
    </row>
    <row r="165" spans="4:10" x14ac:dyDescent="0.2">
      <c r="D165" s="2">
        <v>46021</v>
      </c>
      <c r="E165" s="47" t="s">
        <v>9</v>
      </c>
      <c r="F165" s="100" t="s">
        <v>9</v>
      </c>
      <c r="G165" s="6"/>
      <c r="H165" s="6" t="s">
        <v>192</v>
      </c>
      <c r="I165" s="9"/>
      <c r="J165" s="1">
        <v>33</v>
      </c>
    </row>
    <row r="166" spans="4:10" x14ac:dyDescent="0.2">
      <c r="D166" s="2">
        <v>46022</v>
      </c>
      <c r="E166" s="47" t="s">
        <v>42</v>
      </c>
      <c r="F166" s="100" t="s">
        <v>42</v>
      </c>
      <c r="G166" s="6"/>
      <c r="H166" s="6" t="s">
        <v>192</v>
      </c>
      <c r="I166" s="9"/>
      <c r="J166" s="1">
        <v>122</v>
      </c>
    </row>
    <row r="167" spans="4:10" x14ac:dyDescent="0.2">
      <c r="D167" s="2">
        <v>46022</v>
      </c>
      <c r="E167" s="47" t="s">
        <v>9</v>
      </c>
      <c r="F167" s="100" t="s">
        <v>9</v>
      </c>
      <c r="G167" s="6"/>
      <c r="H167" s="6" t="s">
        <v>192</v>
      </c>
      <c r="I167" s="9"/>
      <c r="J167" s="1">
        <v>67</v>
      </c>
    </row>
    <row r="168" spans="4:10" x14ac:dyDescent="0.2">
      <c r="D168" s="2">
        <v>46022</v>
      </c>
      <c r="E168" s="47" t="s">
        <v>21</v>
      </c>
      <c r="F168" s="100" t="s">
        <v>250</v>
      </c>
      <c r="G168" s="6"/>
      <c r="H168" s="6" t="s">
        <v>192</v>
      </c>
      <c r="I168" s="9"/>
      <c r="J168" s="1">
        <v>27</v>
      </c>
    </row>
    <row r="169" spans="4:10" x14ac:dyDescent="0.2">
      <c r="D169" s="2">
        <v>46022</v>
      </c>
      <c r="E169" s="47" t="s">
        <v>40</v>
      </c>
      <c r="F169" s="100" t="s">
        <v>40</v>
      </c>
      <c r="G169" s="6"/>
      <c r="H169" s="6" t="s">
        <v>192</v>
      </c>
      <c r="I169" s="9"/>
      <c r="J169" s="1">
        <v>75</v>
      </c>
    </row>
    <row r="170" spans="4:10" x14ac:dyDescent="0.2">
      <c r="E170" s="22"/>
      <c r="F170" s="22"/>
      <c r="G170" s="6"/>
      <c r="H170" s="6"/>
      <c r="I170" s="9"/>
    </row>
    <row r="171" spans="4:10" x14ac:dyDescent="0.2">
      <c r="D171" s="7"/>
      <c r="E171" s="8"/>
      <c r="F171" s="8"/>
      <c r="G171" s="8"/>
      <c r="H171" s="8"/>
      <c r="I171" s="8">
        <f>SUBTOTAL(109,الجدول1678912233245517[ايداع])</f>
        <v>700</v>
      </c>
      <c r="J171" s="8">
        <f>SUBTOTAL(109,الجدول1678912233245517[صرف])</f>
        <v>93993</v>
      </c>
    </row>
  </sheetData>
  <mergeCells count="2">
    <mergeCell ref="D2:J2"/>
    <mergeCell ref="L3:M3"/>
  </mergeCells>
  <hyperlinks>
    <hyperlink ref="L3:M3" location="القائمه!A1" display="القائمه"/>
  </hyperlinks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75"/>
  <sheetViews>
    <sheetView rightToLeft="1" topLeftCell="D155" zoomScale="115" zoomScaleNormal="115" workbookViewId="0">
      <selection activeCell="G172" sqref="G172"/>
    </sheetView>
  </sheetViews>
  <sheetFormatPr defaultRowHeight="14.25" x14ac:dyDescent="0.2"/>
  <cols>
    <col min="1" max="1" width="3.625" style="1" hidden="1" customWidth="1"/>
    <col min="2" max="3" width="9.125" style="1" hidden="1" customWidth="1"/>
    <col min="4" max="4" width="10.25" style="2" bestFit="1" customWidth="1"/>
    <col min="5" max="5" width="37.5" style="1" customWidth="1"/>
    <col min="6" max="6" width="17.5" style="1" customWidth="1"/>
    <col min="7" max="7" width="24" style="1" customWidth="1"/>
    <col min="8" max="8" width="7.5" style="1" customWidth="1"/>
    <col min="9" max="9" width="6.125" style="1" bestFit="1" customWidth="1"/>
    <col min="10" max="10" width="7.875" style="1" bestFit="1" customWidth="1"/>
    <col min="11" max="11" width="9" style="1"/>
    <col min="12" max="12" width="6.125" style="1" customWidth="1"/>
    <col min="13" max="16384" width="9" style="1"/>
  </cols>
  <sheetData>
    <row r="2" spans="4:13" ht="15.75" x14ac:dyDescent="0.25">
      <c r="D2" s="163" t="s">
        <v>0</v>
      </c>
      <c r="E2" s="163"/>
      <c r="F2" s="163"/>
      <c r="G2" s="163"/>
      <c r="H2" s="163"/>
      <c r="I2" s="163"/>
      <c r="J2" s="163"/>
    </row>
    <row r="3" spans="4:13" ht="18" x14ac:dyDescent="0.25">
      <c r="D3" s="2" t="s">
        <v>2</v>
      </c>
      <c r="E3" s="1" t="s">
        <v>3</v>
      </c>
      <c r="F3" s="100" t="s">
        <v>240</v>
      </c>
      <c r="G3" s="3" t="s">
        <v>4</v>
      </c>
      <c r="H3" s="100" t="s">
        <v>192</v>
      </c>
      <c r="I3" s="3" t="s">
        <v>5</v>
      </c>
      <c r="J3" s="3" t="s">
        <v>6</v>
      </c>
      <c r="L3" s="164" t="s">
        <v>7</v>
      </c>
      <c r="M3" s="164"/>
    </row>
    <row r="4" spans="4:13" ht="18" x14ac:dyDescent="0.25">
      <c r="D4" s="2">
        <v>46023</v>
      </c>
      <c r="E4" s="100" t="s">
        <v>41</v>
      </c>
      <c r="F4" s="100" t="s">
        <v>41</v>
      </c>
      <c r="G4" s="3"/>
      <c r="H4" s="100" t="s">
        <v>192</v>
      </c>
      <c r="I4" s="3"/>
      <c r="J4" s="1">
        <v>64.5</v>
      </c>
      <c r="L4" s="99"/>
      <c r="M4" s="99"/>
    </row>
    <row r="5" spans="4:13" x14ac:dyDescent="0.2">
      <c r="D5" s="2">
        <v>46023</v>
      </c>
      <c r="E5" s="49" t="s">
        <v>42</v>
      </c>
      <c r="F5" s="100" t="s">
        <v>42</v>
      </c>
      <c r="G5" s="27"/>
      <c r="H5" s="100" t="s">
        <v>192</v>
      </c>
      <c r="I5" s="3"/>
      <c r="J5" s="1">
        <v>66</v>
      </c>
    </row>
    <row r="6" spans="4:13" x14ac:dyDescent="0.2">
      <c r="D6" s="2">
        <v>46023</v>
      </c>
      <c r="E6" s="49" t="s">
        <v>9</v>
      </c>
      <c r="F6" s="100" t="s">
        <v>9</v>
      </c>
      <c r="G6" s="27"/>
      <c r="H6" s="100" t="s">
        <v>192</v>
      </c>
      <c r="I6" s="3"/>
      <c r="J6" s="1">
        <v>9</v>
      </c>
    </row>
    <row r="7" spans="4:13" x14ac:dyDescent="0.2">
      <c r="D7" s="2">
        <v>46024</v>
      </c>
      <c r="E7" s="50" t="s">
        <v>81</v>
      </c>
      <c r="F7" s="100" t="s">
        <v>81</v>
      </c>
      <c r="G7" s="50" t="s">
        <v>13</v>
      </c>
      <c r="H7" s="100" t="s">
        <v>192</v>
      </c>
      <c r="I7" s="3"/>
      <c r="J7" s="1">
        <v>85</v>
      </c>
    </row>
    <row r="8" spans="4:13" x14ac:dyDescent="0.2">
      <c r="D8" s="2">
        <v>46024</v>
      </c>
      <c r="E8" s="50" t="s">
        <v>9</v>
      </c>
      <c r="F8" s="100" t="s">
        <v>9</v>
      </c>
      <c r="G8" s="10"/>
      <c r="H8" s="100" t="s">
        <v>192</v>
      </c>
      <c r="I8" s="3"/>
      <c r="J8" s="1">
        <v>21.5</v>
      </c>
    </row>
    <row r="9" spans="4:13" x14ac:dyDescent="0.2">
      <c r="D9" s="2">
        <v>46025</v>
      </c>
      <c r="E9" s="51" t="s">
        <v>42</v>
      </c>
      <c r="F9" s="100" t="s">
        <v>42</v>
      </c>
      <c r="G9" s="48"/>
      <c r="H9" s="100" t="s">
        <v>192</v>
      </c>
      <c r="I9" s="3"/>
      <c r="J9" s="1">
        <v>108</v>
      </c>
    </row>
    <row r="10" spans="4:13" x14ac:dyDescent="0.2">
      <c r="D10" s="2">
        <v>46025</v>
      </c>
      <c r="E10" s="51" t="s">
        <v>9</v>
      </c>
      <c r="F10" s="100" t="s">
        <v>9</v>
      </c>
      <c r="G10" s="3"/>
      <c r="H10" s="100" t="s">
        <v>192</v>
      </c>
      <c r="I10" s="3"/>
      <c r="J10" s="1">
        <v>9</v>
      </c>
    </row>
    <row r="11" spans="4:13" x14ac:dyDescent="0.2">
      <c r="D11" s="2">
        <v>46026</v>
      </c>
      <c r="E11" s="52" t="s">
        <v>42</v>
      </c>
      <c r="F11" s="100" t="s">
        <v>42</v>
      </c>
      <c r="G11" s="6"/>
      <c r="H11" s="5" t="s">
        <v>192</v>
      </c>
      <c r="I11" s="9"/>
      <c r="J11" s="1">
        <v>80</v>
      </c>
    </row>
    <row r="12" spans="4:13" x14ac:dyDescent="0.2">
      <c r="D12" s="2">
        <v>46026</v>
      </c>
      <c r="E12" s="52" t="s">
        <v>21</v>
      </c>
      <c r="F12" s="100" t="s">
        <v>250</v>
      </c>
      <c r="G12" s="6"/>
      <c r="H12" s="5" t="s">
        <v>192</v>
      </c>
      <c r="I12" s="9"/>
      <c r="J12" s="1">
        <v>65</v>
      </c>
    </row>
    <row r="13" spans="4:13" x14ac:dyDescent="0.2">
      <c r="D13" s="2">
        <v>46026</v>
      </c>
      <c r="E13" s="52" t="s">
        <v>9</v>
      </c>
      <c r="F13" s="100" t="s">
        <v>9</v>
      </c>
      <c r="G13" s="6"/>
      <c r="H13" s="5" t="s">
        <v>192</v>
      </c>
      <c r="I13" s="9"/>
      <c r="J13" s="1">
        <v>65</v>
      </c>
    </row>
    <row r="14" spans="4:13" x14ac:dyDescent="0.2">
      <c r="D14" s="2">
        <v>46027</v>
      </c>
      <c r="E14" s="113" t="s">
        <v>42</v>
      </c>
      <c r="F14" s="112" t="s">
        <v>42</v>
      </c>
      <c r="G14" s="119"/>
      <c r="H14" s="120" t="s">
        <v>192</v>
      </c>
      <c r="I14" s="125"/>
      <c r="J14" s="127">
        <v>122</v>
      </c>
    </row>
    <row r="15" spans="4:13" x14ac:dyDescent="0.2">
      <c r="D15" s="2">
        <v>46027</v>
      </c>
      <c r="E15" s="52" t="s">
        <v>21</v>
      </c>
      <c r="F15" s="100" t="s">
        <v>250</v>
      </c>
      <c r="G15" s="6"/>
      <c r="H15" s="5" t="s">
        <v>192</v>
      </c>
      <c r="I15" s="6"/>
      <c r="J15" s="1">
        <v>28</v>
      </c>
    </row>
    <row r="16" spans="4:13" x14ac:dyDescent="0.2">
      <c r="D16" s="2">
        <v>46027</v>
      </c>
      <c r="E16" s="166" t="s">
        <v>316</v>
      </c>
      <c r="F16" s="120" t="s">
        <v>90</v>
      </c>
      <c r="G16" s="120" t="s">
        <v>283</v>
      </c>
      <c r="H16" s="120" t="s">
        <v>192</v>
      </c>
      <c r="I16" s="120"/>
      <c r="J16" s="127">
        <v>14500</v>
      </c>
    </row>
    <row r="17" spans="4:12" x14ac:dyDescent="0.2">
      <c r="D17" s="2">
        <v>46028</v>
      </c>
      <c r="E17" s="165" t="s">
        <v>318</v>
      </c>
      <c r="F17" s="6" t="s">
        <v>90</v>
      </c>
      <c r="G17" s="6" t="s">
        <v>319</v>
      </c>
      <c r="H17" s="6" t="s">
        <v>192</v>
      </c>
      <c r="I17" s="6"/>
      <c r="J17" s="1">
        <v>1200</v>
      </c>
    </row>
    <row r="18" spans="4:12" x14ac:dyDescent="0.2">
      <c r="D18" s="2">
        <v>46028</v>
      </c>
      <c r="E18" s="113" t="s">
        <v>42</v>
      </c>
      <c r="F18" s="112" t="s">
        <v>42</v>
      </c>
      <c r="G18" s="123"/>
      <c r="H18" s="112" t="s">
        <v>192</v>
      </c>
      <c r="I18" s="126"/>
      <c r="J18" s="127">
        <v>136</v>
      </c>
    </row>
    <row r="19" spans="4:12" x14ac:dyDescent="0.2">
      <c r="D19" s="2">
        <v>46028</v>
      </c>
      <c r="E19" s="52" t="s">
        <v>21</v>
      </c>
      <c r="F19" s="100" t="s">
        <v>250</v>
      </c>
      <c r="G19" s="3"/>
      <c r="H19" s="100" t="s">
        <v>192</v>
      </c>
      <c r="I19" s="4"/>
      <c r="J19" s="1">
        <v>23.5</v>
      </c>
    </row>
    <row r="20" spans="4:12" x14ac:dyDescent="0.2">
      <c r="D20" s="2">
        <v>46028</v>
      </c>
      <c r="E20" s="113" t="s">
        <v>40</v>
      </c>
      <c r="F20" s="112" t="s">
        <v>40</v>
      </c>
      <c r="G20" s="118"/>
      <c r="H20" s="112" t="s">
        <v>192</v>
      </c>
      <c r="I20" s="126"/>
      <c r="J20" s="127">
        <v>35</v>
      </c>
    </row>
    <row r="21" spans="4:12" x14ac:dyDescent="0.2">
      <c r="D21" s="2">
        <v>46029</v>
      </c>
      <c r="E21" s="113" t="s">
        <v>42</v>
      </c>
      <c r="F21" s="112" t="s">
        <v>42</v>
      </c>
      <c r="G21" s="122"/>
      <c r="H21" s="112" t="s">
        <v>192</v>
      </c>
      <c r="I21" s="126"/>
      <c r="J21" s="127">
        <v>122</v>
      </c>
    </row>
    <row r="22" spans="4:12" x14ac:dyDescent="0.2">
      <c r="D22" s="2">
        <v>46029</v>
      </c>
      <c r="E22" s="52" t="s">
        <v>21</v>
      </c>
      <c r="F22" s="100" t="s">
        <v>250</v>
      </c>
      <c r="G22" s="27"/>
      <c r="H22" s="100" t="s">
        <v>192</v>
      </c>
      <c r="I22" s="4"/>
      <c r="J22" s="1">
        <v>66</v>
      </c>
    </row>
    <row r="23" spans="4:12" x14ac:dyDescent="0.2">
      <c r="D23" s="2">
        <v>46029</v>
      </c>
      <c r="E23" s="52" t="s">
        <v>9</v>
      </c>
      <c r="F23" s="100" t="s">
        <v>9</v>
      </c>
      <c r="G23" s="27"/>
      <c r="H23" s="100" t="s">
        <v>192</v>
      </c>
      <c r="I23" s="4"/>
      <c r="J23" s="1">
        <v>41</v>
      </c>
    </row>
    <row r="24" spans="4:12" x14ac:dyDescent="0.2">
      <c r="D24" s="2">
        <v>46029</v>
      </c>
      <c r="E24" s="52" t="s">
        <v>118</v>
      </c>
      <c r="F24" s="100" t="s">
        <v>161</v>
      </c>
      <c r="G24" s="27"/>
      <c r="H24" s="100" t="s">
        <v>192</v>
      </c>
      <c r="I24" s="4"/>
      <c r="J24" s="1">
        <v>150</v>
      </c>
    </row>
    <row r="25" spans="4:12" x14ac:dyDescent="0.2">
      <c r="D25" s="2">
        <v>46029</v>
      </c>
      <c r="E25" s="52" t="s">
        <v>119</v>
      </c>
      <c r="F25" s="100" t="s">
        <v>119</v>
      </c>
      <c r="G25" s="52" t="s">
        <v>120</v>
      </c>
      <c r="H25" s="100" t="s">
        <v>192</v>
      </c>
      <c r="I25" s="4"/>
      <c r="J25" s="1">
        <v>3950</v>
      </c>
    </row>
    <row r="26" spans="4:12" x14ac:dyDescent="0.2">
      <c r="D26" s="2">
        <v>46029</v>
      </c>
      <c r="E26" s="112" t="s">
        <v>280</v>
      </c>
      <c r="F26" s="112" t="s">
        <v>98</v>
      </c>
      <c r="G26" s="113" t="s">
        <v>121</v>
      </c>
      <c r="H26" s="112" t="s">
        <v>192</v>
      </c>
      <c r="I26" s="126"/>
      <c r="J26" s="127">
        <v>1200</v>
      </c>
      <c r="K26" s="28"/>
      <c r="L26" s="28"/>
    </row>
    <row r="27" spans="4:12" x14ac:dyDescent="0.2">
      <c r="D27" s="2">
        <v>46029</v>
      </c>
      <c r="E27" s="112" t="s">
        <v>280</v>
      </c>
      <c r="F27" s="112" t="s">
        <v>98</v>
      </c>
      <c r="G27" s="113" t="s">
        <v>122</v>
      </c>
      <c r="H27" s="112" t="s">
        <v>192</v>
      </c>
      <c r="I27" s="126"/>
      <c r="J27" s="127">
        <v>1000</v>
      </c>
      <c r="K27" s="28"/>
    </row>
    <row r="28" spans="4:12" x14ac:dyDescent="0.2">
      <c r="D28" s="2">
        <v>46030</v>
      </c>
      <c r="E28" s="113" t="s">
        <v>42</v>
      </c>
      <c r="F28" s="112" t="s">
        <v>42</v>
      </c>
      <c r="G28" s="121"/>
      <c r="H28" s="112" t="s">
        <v>192</v>
      </c>
      <c r="I28" s="126"/>
      <c r="J28" s="127">
        <v>80</v>
      </c>
    </row>
    <row r="29" spans="4:12" x14ac:dyDescent="0.2">
      <c r="D29" s="2">
        <v>46030</v>
      </c>
      <c r="E29" s="113" t="s">
        <v>40</v>
      </c>
      <c r="F29" s="112" t="s">
        <v>40</v>
      </c>
      <c r="G29" s="124"/>
      <c r="H29" s="112" t="s">
        <v>192</v>
      </c>
      <c r="I29" s="126"/>
      <c r="J29" s="127">
        <v>64</v>
      </c>
    </row>
    <row r="30" spans="4:12" x14ac:dyDescent="0.2">
      <c r="D30" s="2">
        <v>46030</v>
      </c>
      <c r="E30" s="52" t="s">
        <v>9</v>
      </c>
      <c r="F30" s="100" t="s">
        <v>9</v>
      </c>
      <c r="G30" s="29"/>
      <c r="H30" s="100" t="s">
        <v>192</v>
      </c>
      <c r="I30" s="4"/>
      <c r="J30" s="1">
        <v>9</v>
      </c>
    </row>
    <row r="31" spans="4:12" x14ac:dyDescent="0.2">
      <c r="D31" s="2">
        <v>46030</v>
      </c>
      <c r="E31" s="133" t="s">
        <v>243</v>
      </c>
      <c r="F31" s="100" t="s">
        <v>243</v>
      </c>
      <c r="G31" s="52"/>
      <c r="H31" s="100" t="s">
        <v>192</v>
      </c>
      <c r="I31" s="4"/>
      <c r="J31" s="1">
        <v>450</v>
      </c>
    </row>
    <row r="32" spans="4:12" x14ac:dyDescent="0.2">
      <c r="D32" s="2">
        <v>46030</v>
      </c>
      <c r="E32" s="52" t="s">
        <v>316</v>
      </c>
      <c r="F32" s="100" t="s">
        <v>90</v>
      </c>
      <c r="G32" s="100" t="s">
        <v>281</v>
      </c>
      <c r="H32" s="100" t="s">
        <v>192</v>
      </c>
      <c r="I32" s="4"/>
      <c r="J32" s="1">
        <v>18000</v>
      </c>
    </row>
    <row r="33" spans="4:10" x14ac:dyDescent="0.2">
      <c r="D33" s="2">
        <v>46030</v>
      </c>
      <c r="E33" s="100" t="s">
        <v>251</v>
      </c>
      <c r="F33" s="100" t="s">
        <v>249</v>
      </c>
      <c r="G33" s="52" t="s">
        <v>123</v>
      </c>
      <c r="H33" s="100" t="s">
        <v>192</v>
      </c>
      <c r="I33" s="4"/>
      <c r="J33" s="1">
        <v>1300</v>
      </c>
    </row>
    <row r="34" spans="4:10" x14ac:dyDescent="0.2">
      <c r="D34" s="2">
        <v>46031</v>
      </c>
      <c r="E34" s="55" t="s">
        <v>126</v>
      </c>
      <c r="F34" s="100" t="s">
        <v>126</v>
      </c>
      <c r="G34" s="55"/>
      <c r="H34" s="100" t="s">
        <v>192</v>
      </c>
      <c r="I34" s="4"/>
      <c r="J34" s="1">
        <v>21</v>
      </c>
    </row>
    <row r="35" spans="4:10" x14ac:dyDescent="0.2">
      <c r="D35" s="2">
        <v>46031</v>
      </c>
      <c r="E35" s="105" t="s">
        <v>42</v>
      </c>
      <c r="F35" s="112" t="s">
        <v>42</v>
      </c>
      <c r="G35" s="118"/>
      <c r="H35" s="112" t="s">
        <v>192</v>
      </c>
      <c r="I35" s="120"/>
      <c r="J35" s="127">
        <v>21.5</v>
      </c>
    </row>
    <row r="36" spans="4:10" x14ac:dyDescent="0.2">
      <c r="D36" s="2">
        <v>46031</v>
      </c>
      <c r="E36" s="105" t="s">
        <v>124</v>
      </c>
      <c r="F36" s="112" t="s">
        <v>242</v>
      </c>
      <c r="G36" s="118"/>
      <c r="H36" s="112" t="s">
        <v>192</v>
      </c>
      <c r="I36" s="120"/>
      <c r="J36" s="127">
        <v>25.5</v>
      </c>
    </row>
    <row r="37" spans="4:10" x14ac:dyDescent="0.2">
      <c r="D37" s="2">
        <v>46031</v>
      </c>
      <c r="E37" s="53" t="s">
        <v>9</v>
      </c>
      <c r="F37" s="100" t="s">
        <v>9</v>
      </c>
      <c r="G37" s="10"/>
      <c r="H37" s="100" t="s">
        <v>192</v>
      </c>
      <c r="I37" s="5"/>
      <c r="J37" s="1">
        <v>85</v>
      </c>
    </row>
    <row r="38" spans="4:10" x14ac:dyDescent="0.2">
      <c r="D38" s="2">
        <v>46031</v>
      </c>
      <c r="E38" s="53" t="s">
        <v>316</v>
      </c>
      <c r="F38" s="100" t="s">
        <v>90</v>
      </c>
      <c r="G38" s="53" t="s">
        <v>43</v>
      </c>
      <c r="H38" s="100" t="s">
        <v>192</v>
      </c>
      <c r="I38" s="4"/>
      <c r="J38" s="1">
        <v>5000</v>
      </c>
    </row>
    <row r="39" spans="4:10" x14ac:dyDescent="0.2">
      <c r="D39" s="2">
        <v>46032</v>
      </c>
      <c r="E39" s="54" t="s">
        <v>42</v>
      </c>
      <c r="F39" s="100" t="s">
        <v>42</v>
      </c>
      <c r="G39" s="31"/>
      <c r="H39" s="100" t="s">
        <v>192</v>
      </c>
      <c r="I39" s="4"/>
      <c r="J39" s="1">
        <v>66.5</v>
      </c>
    </row>
    <row r="40" spans="4:10" x14ac:dyDescent="0.2">
      <c r="D40" s="2">
        <v>46032</v>
      </c>
      <c r="E40" s="54" t="s">
        <v>81</v>
      </c>
      <c r="F40" s="100" t="s">
        <v>81</v>
      </c>
      <c r="G40" s="54" t="s">
        <v>13</v>
      </c>
      <c r="H40" s="100" t="s">
        <v>192</v>
      </c>
      <c r="I40" s="4"/>
      <c r="J40" s="1">
        <v>100</v>
      </c>
    </row>
    <row r="41" spans="4:10" x14ac:dyDescent="0.2">
      <c r="D41" s="2">
        <v>46032</v>
      </c>
      <c r="E41" s="109" t="s">
        <v>16</v>
      </c>
      <c r="F41" s="112" t="s">
        <v>16</v>
      </c>
      <c r="G41" s="119" t="s">
        <v>125</v>
      </c>
      <c r="H41" s="120" t="s">
        <v>192</v>
      </c>
      <c r="I41" s="119"/>
      <c r="J41" s="127">
        <v>1400</v>
      </c>
    </row>
    <row r="42" spans="4:10" x14ac:dyDescent="0.2">
      <c r="D42" s="2">
        <v>46032</v>
      </c>
      <c r="E42" s="109" t="s">
        <v>32</v>
      </c>
      <c r="F42" s="112" t="s">
        <v>16</v>
      </c>
      <c r="G42" s="119"/>
      <c r="H42" s="120" t="s">
        <v>192</v>
      </c>
      <c r="I42" s="119"/>
      <c r="J42" s="127">
        <v>100</v>
      </c>
    </row>
    <row r="43" spans="4:10" x14ac:dyDescent="0.2">
      <c r="D43" s="2">
        <v>46032</v>
      </c>
      <c r="E43" s="109" t="s">
        <v>16</v>
      </c>
      <c r="F43" s="112" t="s">
        <v>16</v>
      </c>
      <c r="G43" s="119" t="s">
        <v>94</v>
      </c>
      <c r="H43" s="120" t="s">
        <v>192</v>
      </c>
      <c r="I43" s="119"/>
      <c r="J43" s="127">
        <v>100</v>
      </c>
    </row>
    <row r="44" spans="4:10" x14ac:dyDescent="0.2">
      <c r="D44" s="2">
        <v>46033</v>
      </c>
      <c r="E44" s="54" t="s">
        <v>42</v>
      </c>
      <c r="F44" s="100" t="s">
        <v>42</v>
      </c>
      <c r="G44" s="6"/>
      <c r="H44" s="5" t="s">
        <v>192</v>
      </c>
      <c r="I44" s="6"/>
      <c r="J44" s="1">
        <v>112</v>
      </c>
    </row>
    <row r="45" spans="4:10" x14ac:dyDescent="0.2">
      <c r="D45" s="2">
        <v>46033</v>
      </c>
      <c r="E45" s="109" t="s">
        <v>126</v>
      </c>
      <c r="F45" s="112" t="s">
        <v>126</v>
      </c>
      <c r="G45" s="119"/>
      <c r="H45" s="120" t="s">
        <v>192</v>
      </c>
      <c r="I45" s="119"/>
      <c r="J45" s="127">
        <v>24.5</v>
      </c>
    </row>
    <row r="46" spans="4:10" x14ac:dyDescent="0.2">
      <c r="D46" s="2">
        <v>46033</v>
      </c>
      <c r="E46" s="54" t="s">
        <v>9</v>
      </c>
      <c r="F46" s="100" t="s">
        <v>9</v>
      </c>
      <c r="G46" s="6"/>
      <c r="H46" s="5" t="s">
        <v>192</v>
      </c>
      <c r="I46" s="6"/>
      <c r="J46" s="1">
        <v>73</v>
      </c>
    </row>
    <row r="47" spans="4:10" x14ac:dyDescent="0.2">
      <c r="D47" s="2">
        <v>46033</v>
      </c>
      <c r="E47" s="115" t="s">
        <v>132</v>
      </c>
      <c r="F47" s="112" t="s">
        <v>160</v>
      </c>
      <c r="G47" s="119" t="s">
        <v>141</v>
      </c>
      <c r="H47" s="120" t="s">
        <v>192</v>
      </c>
      <c r="I47" s="119"/>
      <c r="J47" s="127">
        <v>147</v>
      </c>
    </row>
    <row r="48" spans="4:10" x14ac:dyDescent="0.2">
      <c r="D48" s="2">
        <v>46033</v>
      </c>
      <c r="E48" s="59" t="s">
        <v>41</v>
      </c>
      <c r="F48" s="100" t="s">
        <v>41</v>
      </c>
      <c r="G48" s="6" t="s">
        <v>138</v>
      </c>
      <c r="H48" s="5" t="s">
        <v>192</v>
      </c>
      <c r="I48" s="6"/>
      <c r="J48" s="1">
        <v>129</v>
      </c>
    </row>
    <row r="49" spans="4:10" x14ac:dyDescent="0.2">
      <c r="D49" s="2">
        <v>46033</v>
      </c>
      <c r="E49" s="54" t="s">
        <v>127</v>
      </c>
      <c r="F49" s="100" t="s">
        <v>249</v>
      </c>
      <c r="G49" s="6"/>
      <c r="H49" s="5" t="s">
        <v>192</v>
      </c>
      <c r="I49" s="6"/>
      <c r="J49" s="1">
        <v>300</v>
      </c>
    </row>
    <row r="50" spans="4:10" x14ac:dyDescent="0.2">
      <c r="D50" s="2">
        <v>46034</v>
      </c>
      <c r="E50" s="115" t="s">
        <v>132</v>
      </c>
      <c r="F50" s="112" t="s">
        <v>160</v>
      </c>
      <c r="G50" s="119" t="s">
        <v>142</v>
      </c>
      <c r="H50" s="120" t="s">
        <v>192</v>
      </c>
      <c r="I50" s="119"/>
      <c r="J50" s="127">
        <v>126</v>
      </c>
    </row>
    <row r="51" spans="4:10" x14ac:dyDescent="0.2">
      <c r="D51" s="2">
        <v>46034</v>
      </c>
      <c r="E51" s="55" t="s">
        <v>42</v>
      </c>
      <c r="F51" s="100" t="s">
        <v>42</v>
      </c>
      <c r="G51" s="6"/>
      <c r="H51" s="5" t="s">
        <v>192</v>
      </c>
      <c r="I51" s="6"/>
      <c r="J51" s="1">
        <v>108</v>
      </c>
    </row>
    <row r="52" spans="4:10" x14ac:dyDescent="0.2">
      <c r="D52" s="2">
        <v>46034</v>
      </c>
      <c r="E52" s="55" t="s">
        <v>9</v>
      </c>
      <c r="F52" s="100" t="s">
        <v>9</v>
      </c>
      <c r="G52" s="6"/>
      <c r="H52" s="5" t="s">
        <v>192</v>
      </c>
      <c r="I52" s="6"/>
      <c r="J52" s="1">
        <v>34.5</v>
      </c>
    </row>
    <row r="53" spans="4:10" x14ac:dyDescent="0.2">
      <c r="D53" s="2">
        <v>46034</v>
      </c>
      <c r="E53" s="55" t="s">
        <v>127</v>
      </c>
      <c r="F53" s="100" t="s">
        <v>249</v>
      </c>
      <c r="G53" s="6"/>
      <c r="H53" s="5" t="s">
        <v>192</v>
      </c>
      <c r="I53" s="6"/>
      <c r="J53" s="1">
        <v>300</v>
      </c>
    </row>
    <row r="54" spans="4:10" x14ac:dyDescent="0.2">
      <c r="D54" s="2">
        <v>46034</v>
      </c>
      <c r="E54" s="55" t="s">
        <v>16</v>
      </c>
      <c r="F54" s="100" t="s">
        <v>16</v>
      </c>
      <c r="G54" s="6" t="s">
        <v>128</v>
      </c>
      <c r="H54" s="5" t="s">
        <v>192</v>
      </c>
      <c r="I54" s="6"/>
      <c r="J54" s="1">
        <v>500</v>
      </c>
    </row>
    <row r="55" spans="4:10" x14ac:dyDescent="0.2">
      <c r="D55" s="2">
        <v>46034</v>
      </c>
      <c r="E55" s="55" t="s">
        <v>16</v>
      </c>
      <c r="F55" s="100" t="s">
        <v>16</v>
      </c>
      <c r="G55" s="6" t="s">
        <v>129</v>
      </c>
      <c r="H55" s="5" t="s">
        <v>192</v>
      </c>
      <c r="I55" s="6"/>
      <c r="J55" s="1">
        <v>900</v>
      </c>
    </row>
    <row r="56" spans="4:10" x14ac:dyDescent="0.2">
      <c r="D56" s="2">
        <v>46035</v>
      </c>
      <c r="E56" s="114" t="s">
        <v>126</v>
      </c>
      <c r="F56" s="112" t="s">
        <v>126</v>
      </c>
      <c r="G56" s="119"/>
      <c r="H56" s="120" t="s">
        <v>192</v>
      </c>
      <c r="I56" s="119"/>
      <c r="J56" s="127">
        <v>31.5</v>
      </c>
    </row>
    <row r="57" spans="4:10" x14ac:dyDescent="0.2">
      <c r="D57" s="2">
        <v>46035</v>
      </c>
      <c r="E57" s="56" t="s">
        <v>42</v>
      </c>
      <c r="F57" s="100" t="s">
        <v>42</v>
      </c>
      <c r="G57" s="6"/>
      <c r="H57" s="5" t="s">
        <v>192</v>
      </c>
      <c r="I57" s="6"/>
      <c r="J57" s="1">
        <v>122</v>
      </c>
    </row>
    <row r="58" spans="4:10" x14ac:dyDescent="0.2">
      <c r="D58" s="2">
        <v>46035</v>
      </c>
      <c r="E58" s="56" t="s">
        <v>42</v>
      </c>
      <c r="F58" s="100" t="s">
        <v>42</v>
      </c>
      <c r="G58" s="6" t="s">
        <v>130</v>
      </c>
      <c r="H58" s="5" t="s">
        <v>192</v>
      </c>
      <c r="I58" s="6"/>
      <c r="J58" s="1">
        <v>28</v>
      </c>
    </row>
    <row r="59" spans="4:10" x14ac:dyDescent="0.2">
      <c r="D59" s="2">
        <v>46035</v>
      </c>
      <c r="E59" s="114" t="s">
        <v>9</v>
      </c>
      <c r="F59" s="112" t="s">
        <v>9</v>
      </c>
      <c r="G59" s="119"/>
      <c r="H59" s="120" t="s">
        <v>192</v>
      </c>
      <c r="I59" s="119"/>
      <c r="J59" s="127">
        <v>65</v>
      </c>
    </row>
    <row r="60" spans="4:10" x14ac:dyDescent="0.2">
      <c r="D60" s="2">
        <v>46035</v>
      </c>
      <c r="E60" s="114" t="s">
        <v>16</v>
      </c>
      <c r="F60" s="112" t="s">
        <v>16</v>
      </c>
      <c r="G60" s="119" t="s">
        <v>128</v>
      </c>
      <c r="H60" s="120" t="s">
        <v>192</v>
      </c>
      <c r="I60" s="119"/>
      <c r="J60" s="127">
        <v>500</v>
      </c>
    </row>
    <row r="61" spans="4:10" x14ac:dyDescent="0.2">
      <c r="D61" s="2">
        <v>46035</v>
      </c>
      <c r="E61" s="135" t="s">
        <v>243</v>
      </c>
      <c r="F61" s="112" t="s">
        <v>243</v>
      </c>
      <c r="G61" s="119"/>
      <c r="H61" s="120" t="s">
        <v>192</v>
      </c>
      <c r="I61" s="119"/>
      <c r="J61" s="127">
        <v>300</v>
      </c>
    </row>
    <row r="62" spans="4:10" x14ac:dyDescent="0.2">
      <c r="D62" s="2">
        <v>46036</v>
      </c>
      <c r="E62" s="114" t="s">
        <v>42</v>
      </c>
      <c r="F62" s="112" t="s">
        <v>42</v>
      </c>
      <c r="G62" s="119"/>
      <c r="H62" s="120" t="s">
        <v>192</v>
      </c>
      <c r="I62" s="119"/>
      <c r="J62" s="127">
        <v>80</v>
      </c>
    </row>
    <row r="63" spans="4:10" x14ac:dyDescent="0.2">
      <c r="D63" s="2">
        <v>46036</v>
      </c>
      <c r="E63" s="114" t="s">
        <v>126</v>
      </c>
      <c r="F63" s="112" t="s">
        <v>126</v>
      </c>
      <c r="G63" s="119"/>
      <c r="H63" s="120" t="s">
        <v>192</v>
      </c>
      <c r="I63" s="119"/>
      <c r="J63" s="127">
        <v>18</v>
      </c>
    </row>
    <row r="64" spans="4:10" x14ac:dyDescent="0.2">
      <c r="D64" s="2">
        <v>46036</v>
      </c>
      <c r="E64" s="114" t="s">
        <v>9</v>
      </c>
      <c r="F64" s="112" t="s">
        <v>9</v>
      </c>
      <c r="G64" s="119"/>
      <c r="H64" s="120" t="s">
        <v>192</v>
      </c>
      <c r="I64" s="119"/>
      <c r="J64" s="127">
        <v>24</v>
      </c>
    </row>
    <row r="65" spans="4:10" x14ac:dyDescent="0.2">
      <c r="D65" s="2">
        <v>46037</v>
      </c>
      <c r="E65" s="110" t="s">
        <v>42</v>
      </c>
      <c r="F65" s="112" t="s">
        <v>42</v>
      </c>
      <c r="G65" s="119"/>
      <c r="H65" s="120" t="s">
        <v>192</v>
      </c>
      <c r="I65" s="119"/>
      <c r="J65" s="127">
        <v>94</v>
      </c>
    </row>
    <row r="66" spans="4:10" x14ac:dyDescent="0.2">
      <c r="D66" s="2">
        <v>46037</v>
      </c>
      <c r="E66" s="110" t="s">
        <v>40</v>
      </c>
      <c r="F66" s="112" t="s">
        <v>40</v>
      </c>
      <c r="G66" s="119"/>
      <c r="H66" s="120" t="s">
        <v>192</v>
      </c>
      <c r="I66" s="119"/>
      <c r="J66" s="127">
        <v>73</v>
      </c>
    </row>
    <row r="67" spans="4:10" x14ac:dyDescent="0.2">
      <c r="D67" s="2">
        <v>46037</v>
      </c>
      <c r="E67" s="110" t="s">
        <v>9</v>
      </c>
      <c r="F67" s="112" t="s">
        <v>9</v>
      </c>
      <c r="G67" s="119"/>
      <c r="H67" s="120" t="s">
        <v>192</v>
      </c>
      <c r="I67" s="119"/>
      <c r="J67" s="127">
        <v>60.5</v>
      </c>
    </row>
    <row r="68" spans="4:10" x14ac:dyDescent="0.2">
      <c r="D68" s="2">
        <v>46037</v>
      </c>
      <c r="E68" s="57" t="s">
        <v>81</v>
      </c>
      <c r="F68" s="100" t="s">
        <v>81</v>
      </c>
      <c r="G68" s="6" t="s">
        <v>131</v>
      </c>
      <c r="H68" s="5" t="s">
        <v>192</v>
      </c>
      <c r="I68" s="6"/>
      <c r="J68" s="1">
        <v>50</v>
      </c>
    </row>
    <row r="69" spans="4:10" x14ac:dyDescent="0.2">
      <c r="D69" s="2">
        <v>46037</v>
      </c>
      <c r="E69" s="111" t="s">
        <v>133</v>
      </c>
      <c r="F69" s="112" t="s">
        <v>160</v>
      </c>
      <c r="G69" s="119" t="s">
        <v>134</v>
      </c>
      <c r="H69" s="120" t="s">
        <v>192</v>
      </c>
      <c r="I69" s="119"/>
      <c r="J69" s="127">
        <v>105</v>
      </c>
    </row>
    <row r="70" spans="4:10" x14ac:dyDescent="0.2">
      <c r="D70" s="2">
        <v>46038</v>
      </c>
      <c r="E70" s="111" t="s">
        <v>42</v>
      </c>
      <c r="F70" s="112" t="s">
        <v>42</v>
      </c>
      <c r="G70" s="119"/>
      <c r="H70" s="120" t="s">
        <v>192</v>
      </c>
      <c r="I70" s="119"/>
      <c r="J70" s="127">
        <v>132</v>
      </c>
    </row>
    <row r="71" spans="4:10" x14ac:dyDescent="0.2">
      <c r="D71" s="2">
        <v>46038</v>
      </c>
      <c r="E71" s="111" t="s">
        <v>132</v>
      </c>
      <c r="F71" s="112" t="s">
        <v>160</v>
      </c>
      <c r="G71" s="119" t="s">
        <v>135</v>
      </c>
      <c r="H71" s="120" t="s">
        <v>192</v>
      </c>
      <c r="I71" s="125"/>
      <c r="J71" s="127">
        <v>252</v>
      </c>
    </row>
    <row r="72" spans="4:10" x14ac:dyDescent="0.2">
      <c r="D72" s="2">
        <v>46038</v>
      </c>
      <c r="E72" s="58" t="s">
        <v>136</v>
      </c>
      <c r="F72" s="100" t="s">
        <v>161</v>
      </c>
      <c r="G72" s="6"/>
      <c r="H72" s="5" t="s">
        <v>192</v>
      </c>
      <c r="I72" s="9"/>
      <c r="J72" s="1">
        <v>30</v>
      </c>
    </row>
    <row r="73" spans="4:10" x14ac:dyDescent="0.2">
      <c r="D73" s="2">
        <v>46038</v>
      </c>
      <c r="E73" s="58" t="s">
        <v>126</v>
      </c>
      <c r="F73" s="100" t="s">
        <v>126</v>
      </c>
      <c r="G73" s="6"/>
      <c r="H73" s="5" t="s">
        <v>192</v>
      </c>
      <c r="I73" s="9"/>
      <c r="J73" s="1">
        <v>39.5</v>
      </c>
    </row>
    <row r="74" spans="4:10" x14ac:dyDescent="0.2">
      <c r="D74" s="2">
        <v>46038</v>
      </c>
      <c r="E74" s="111" t="s">
        <v>9</v>
      </c>
      <c r="F74" s="112" t="s">
        <v>9</v>
      </c>
      <c r="G74" s="119"/>
      <c r="H74" s="120" t="s">
        <v>192</v>
      </c>
      <c r="I74" s="125"/>
      <c r="J74" s="127">
        <v>36</v>
      </c>
    </row>
    <row r="75" spans="4:10" x14ac:dyDescent="0.2">
      <c r="D75" s="2">
        <v>46038</v>
      </c>
      <c r="E75" s="135" t="s">
        <v>243</v>
      </c>
      <c r="F75" s="112" t="s">
        <v>243</v>
      </c>
      <c r="G75" s="119"/>
      <c r="H75" s="120" t="s">
        <v>192</v>
      </c>
      <c r="I75" s="125"/>
      <c r="J75" s="127">
        <v>300</v>
      </c>
    </row>
    <row r="76" spans="4:10" x14ac:dyDescent="0.2">
      <c r="D76" s="2">
        <v>46039</v>
      </c>
      <c r="E76" s="115" t="s">
        <v>132</v>
      </c>
      <c r="F76" s="112" t="s">
        <v>160</v>
      </c>
      <c r="G76" s="119" t="s">
        <v>137</v>
      </c>
      <c r="H76" s="120" t="s">
        <v>192</v>
      </c>
      <c r="I76" s="125"/>
      <c r="J76" s="127">
        <v>420</v>
      </c>
    </row>
    <row r="77" spans="4:10" x14ac:dyDescent="0.2">
      <c r="D77" s="2">
        <v>46039</v>
      </c>
      <c r="E77" s="59" t="s">
        <v>41</v>
      </c>
      <c r="F77" s="100" t="s">
        <v>41</v>
      </c>
      <c r="G77" s="6" t="s">
        <v>138</v>
      </c>
      <c r="H77" s="5" t="s">
        <v>192</v>
      </c>
      <c r="I77" s="9"/>
      <c r="J77" s="1">
        <v>129</v>
      </c>
    </row>
    <row r="78" spans="4:10" x14ac:dyDescent="0.2">
      <c r="D78" s="2">
        <v>46039</v>
      </c>
      <c r="E78" s="115" t="s">
        <v>42</v>
      </c>
      <c r="F78" s="112" t="s">
        <v>42</v>
      </c>
      <c r="G78" s="119"/>
      <c r="H78" s="120" t="s">
        <v>192</v>
      </c>
      <c r="I78" s="125"/>
      <c r="J78" s="127">
        <v>138</v>
      </c>
    </row>
    <row r="79" spans="4:10" x14ac:dyDescent="0.2">
      <c r="D79" s="2">
        <v>46039</v>
      </c>
      <c r="E79" s="59" t="s">
        <v>40</v>
      </c>
      <c r="F79" s="100" t="s">
        <v>40</v>
      </c>
      <c r="G79" s="6" t="s">
        <v>139</v>
      </c>
      <c r="H79" s="5" t="s">
        <v>192</v>
      </c>
      <c r="I79" s="9"/>
      <c r="J79" s="1">
        <v>35</v>
      </c>
    </row>
    <row r="80" spans="4:10" x14ac:dyDescent="0.2">
      <c r="D80" s="2">
        <v>46039</v>
      </c>
      <c r="E80" s="59" t="s">
        <v>81</v>
      </c>
      <c r="F80" s="100" t="s">
        <v>81</v>
      </c>
      <c r="G80" s="6" t="s">
        <v>131</v>
      </c>
      <c r="H80" s="5" t="s">
        <v>192</v>
      </c>
      <c r="I80" s="9"/>
      <c r="J80" s="1">
        <v>100</v>
      </c>
    </row>
    <row r="81" spans="4:10" x14ac:dyDescent="0.2">
      <c r="D81" s="2">
        <v>46039</v>
      </c>
      <c r="E81" s="115" t="s">
        <v>9</v>
      </c>
      <c r="F81" s="112" t="s">
        <v>9</v>
      </c>
      <c r="G81" s="119"/>
      <c r="H81" s="120" t="s">
        <v>192</v>
      </c>
      <c r="I81" s="125"/>
      <c r="J81" s="127">
        <v>44</v>
      </c>
    </row>
    <row r="82" spans="4:10" x14ac:dyDescent="0.2">
      <c r="D82" s="2">
        <v>46039</v>
      </c>
      <c r="E82" s="115" t="s">
        <v>140</v>
      </c>
      <c r="F82" s="112" t="s">
        <v>140</v>
      </c>
      <c r="G82" s="119" t="s">
        <v>144</v>
      </c>
      <c r="H82" s="120" t="s">
        <v>192</v>
      </c>
      <c r="I82" s="125"/>
      <c r="J82" s="127">
        <v>10.5</v>
      </c>
    </row>
    <row r="83" spans="4:10" x14ac:dyDescent="0.2">
      <c r="D83" s="2">
        <v>46040</v>
      </c>
      <c r="E83" s="116" t="s">
        <v>132</v>
      </c>
      <c r="F83" s="112" t="s">
        <v>160</v>
      </c>
      <c r="G83" s="119" t="s">
        <v>143</v>
      </c>
      <c r="H83" s="120" t="s">
        <v>192</v>
      </c>
      <c r="I83" s="125"/>
      <c r="J83" s="127">
        <v>315</v>
      </c>
    </row>
    <row r="84" spans="4:10" x14ac:dyDescent="0.2">
      <c r="D84" s="2">
        <v>46040</v>
      </c>
      <c r="E84" s="60" t="s">
        <v>132</v>
      </c>
      <c r="F84" s="100" t="s">
        <v>160</v>
      </c>
      <c r="G84" s="6" t="s">
        <v>145</v>
      </c>
      <c r="H84" s="5" t="s">
        <v>192</v>
      </c>
      <c r="I84" s="9"/>
      <c r="J84" s="1">
        <v>462</v>
      </c>
    </row>
    <row r="85" spans="4:10" x14ac:dyDescent="0.2">
      <c r="D85" s="2">
        <v>46040</v>
      </c>
      <c r="E85" s="116" t="s">
        <v>42</v>
      </c>
      <c r="F85" s="112" t="s">
        <v>42</v>
      </c>
      <c r="G85" s="119" t="s">
        <v>144</v>
      </c>
      <c r="H85" s="120" t="s">
        <v>192</v>
      </c>
      <c r="I85" s="125"/>
      <c r="J85" s="127">
        <v>70</v>
      </c>
    </row>
    <row r="86" spans="4:10" x14ac:dyDescent="0.2">
      <c r="D86" s="2">
        <v>46040</v>
      </c>
      <c r="E86" s="112" t="s">
        <v>42</v>
      </c>
      <c r="F86" s="112" t="s">
        <v>42</v>
      </c>
      <c r="G86" s="120"/>
      <c r="H86" s="120" t="s">
        <v>192</v>
      </c>
      <c r="I86" s="125"/>
      <c r="J86" s="127">
        <v>66</v>
      </c>
    </row>
    <row r="87" spans="4:10" x14ac:dyDescent="0.2">
      <c r="D87" s="2">
        <v>46040</v>
      </c>
      <c r="E87" s="60" t="s">
        <v>41</v>
      </c>
      <c r="F87" s="100" t="s">
        <v>41</v>
      </c>
      <c r="G87" s="6" t="s">
        <v>138</v>
      </c>
      <c r="H87" s="5" t="s">
        <v>192</v>
      </c>
      <c r="I87" s="9"/>
      <c r="J87" s="1">
        <v>129</v>
      </c>
    </row>
    <row r="88" spans="4:10" x14ac:dyDescent="0.2">
      <c r="D88" s="2">
        <v>46040</v>
      </c>
      <c r="E88" s="145" t="s">
        <v>290</v>
      </c>
      <c r="F88" s="6" t="s">
        <v>291</v>
      </c>
      <c r="G88" s="6" t="s">
        <v>293</v>
      </c>
      <c r="H88" s="6" t="s">
        <v>192</v>
      </c>
      <c r="I88" s="9"/>
      <c r="J88" s="1">
        <v>150</v>
      </c>
    </row>
    <row r="89" spans="4:10" x14ac:dyDescent="0.2">
      <c r="D89" s="2">
        <v>46041</v>
      </c>
      <c r="E89" s="145" t="s">
        <v>290</v>
      </c>
      <c r="F89" s="6" t="s">
        <v>291</v>
      </c>
      <c r="G89" s="6" t="s">
        <v>294</v>
      </c>
      <c r="H89" s="6" t="s">
        <v>192</v>
      </c>
      <c r="I89" s="9"/>
      <c r="J89" s="1">
        <v>300</v>
      </c>
    </row>
    <row r="90" spans="4:10" x14ac:dyDescent="0.2">
      <c r="D90" s="2">
        <v>46041</v>
      </c>
      <c r="E90" s="61" t="s">
        <v>41</v>
      </c>
      <c r="F90" s="100" t="s">
        <v>41</v>
      </c>
      <c r="G90" s="6" t="s">
        <v>147</v>
      </c>
      <c r="H90" s="5" t="s">
        <v>192</v>
      </c>
      <c r="I90" s="9"/>
      <c r="J90" s="1">
        <v>300.5</v>
      </c>
    </row>
    <row r="91" spans="4:10" x14ac:dyDescent="0.2">
      <c r="D91" s="2">
        <v>46041</v>
      </c>
      <c r="E91" s="61" t="s">
        <v>132</v>
      </c>
      <c r="F91" s="100" t="s">
        <v>160</v>
      </c>
      <c r="G91" s="6" t="s">
        <v>148</v>
      </c>
      <c r="H91" s="5" t="s">
        <v>192</v>
      </c>
      <c r="I91" s="9"/>
      <c r="J91" s="1">
        <v>462</v>
      </c>
    </row>
    <row r="92" spans="4:10" x14ac:dyDescent="0.2">
      <c r="D92" s="2">
        <v>46041</v>
      </c>
      <c r="E92" s="107" t="s">
        <v>41</v>
      </c>
      <c r="F92" s="112" t="s">
        <v>41</v>
      </c>
      <c r="G92" s="119" t="s">
        <v>149</v>
      </c>
      <c r="H92" s="120" t="s">
        <v>192</v>
      </c>
      <c r="I92" s="125"/>
      <c r="J92" s="127">
        <v>64.5</v>
      </c>
    </row>
    <row r="93" spans="4:10" x14ac:dyDescent="0.2">
      <c r="D93" s="2">
        <v>46041</v>
      </c>
      <c r="E93" s="61" t="s">
        <v>81</v>
      </c>
      <c r="F93" s="100" t="s">
        <v>81</v>
      </c>
      <c r="G93" s="6" t="s">
        <v>98</v>
      </c>
      <c r="H93" s="5" t="s">
        <v>192</v>
      </c>
      <c r="I93" s="9"/>
      <c r="J93" s="1">
        <v>500</v>
      </c>
    </row>
    <row r="94" spans="4:10" x14ac:dyDescent="0.2">
      <c r="D94" s="2">
        <v>46041</v>
      </c>
      <c r="E94" s="61" t="s">
        <v>81</v>
      </c>
      <c r="F94" s="100" t="s">
        <v>81</v>
      </c>
      <c r="G94" s="6" t="s">
        <v>13</v>
      </c>
      <c r="H94" s="5" t="s">
        <v>192</v>
      </c>
      <c r="I94" s="9"/>
      <c r="J94" s="1">
        <v>85</v>
      </c>
    </row>
    <row r="95" spans="4:10" x14ac:dyDescent="0.2">
      <c r="D95" s="2">
        <v>46041</v>
      </c>
      <c r="E95" s="107" t="s">
        <v>42</v>
      </c>
      <c r="F95" s="112" t="s">
        <v>42</v>
      </c>
      <c r="G95" s="119" t="s">
        <v>150</v>
      </c>
      <c r="H95" s="120" t="s">
        <v>192</v>
      </c>
      <c r="I95" s="125"/>
      <c r="J95" s="127">
        <v>120</v>
      </c>
    </row>
    <row r="96" spans="4:10" x14ac:dyDescent="0.2">
      <c r="D96" s="2">
        <v>46041</v>
      </c>
      <c r="E96" s="107" t="s">
        <v>42</v>
      </c>
      <c r="F96" s="112" t="s">
        <v>42</v>
      </c>
      <c r="G96" s="119"/>
      <c r="H96" s="120" t="s">
        <v>192</v>
      </c>
      <c r="I96" s="125"/>
      <c r="J96" s="127">
        <v>56</v>
      </c>
    </row>
    <row r="97" spans="4:10" x14ac:dyDescent="0.2">
      <c r="D97" s="2">
        <v>46041</v>
      </c>
      <c r="E97" s="61" t="s">
        <v>126</v>
      </c>
      <c r="F97" s="100" t="s">
        <v>126</v>
      </c>
      <c r="G97" s="6" t="s">
        <v>151</v>
      </c>
      <c r="H97" s="5" t="s">
        <v>192</v>
      </c>
      <c r="I97" s="9"/>
      <c r="J97" s="1">
        <v>42</v>
      </c>
    </row>
    <row r="98" spans="4:10" x14ac:dyDescent="0.2">
      <c r="D98" s="2">
        <v>46041</v>
      </c>
      <c r="E98" s="61" t="s">
        <v>152</v>
      </c>
      <c r="F98" s="100" t="s">
        <v>249</v>
      </c>
      <c r="G98" s="6"/>
      <c r="H98" s="5" t="s">
        <v>192</v>
      </c>
      <c r="I98" s="9"/>
      <c r="J98" s="1">
        <v>400</v>
      </c>
    </row>
    <row r="99" spans="4:10" x14ac:dyDescent="0.2">
      <c r="D99" s="2">
        <v>46041</v>
      </c>
      <c r="E99" s="61" t="s">
        <v>153</v>
      </c>
      <c r="F99" s="100" t="s">
        <v>189</v>
      </c>
      <c r="G99" s="6" t="s">
        <v>154</v>
      </c>
      <c r="H99" s="5" t="s">
        <v>192</v>
      </c>
      <c r="I99" s="9"/>
      <c r="J99" s="1">
        <v>212.5</v>
      </c>
    </row>
    <row r="100" spans="4:10" x14ac:dyDescent="0.2">
      <c r="D100" s="2">
        <v>46041</v>
      </c>
      <c r="E100" s="61" t="s">
        <v>9</v>
      </c>
      <c r="F100" s="100" t="s">
        <v>9</v>
      </c>
      <c r="G100" s="6"/>
      <c r="H100" s="5" t="s">
        <v>192</v>
      </c>
      <c r="I100" s="9"/>
      <c r="J100" s="1">
        <v>95</v>
      </c>
    </row>
    <row r="101" spans="4:10" x14ac:dyDescent="0.2">
      <c r="D101" s="2">
        <v>46041</v>
      </c>
      <c r="E101" s="61" t="s">
        <v>21</v>
      </c>
      <c r="F101" s="100" t="s">
        <v>250</v>
      </c>
      <c r="G101" s="6"/>
      <c r="H101" s="5" t="s">
        <v>192</v>
      </c>
      <c r="I101" s="9"/>
      <c r="J101" s="1">
        <v>30</v>
      </c>
    </row>
    <row r="102" spans="4:10" x14ac:dyDescent="0.2">
      <c r="D102" s="2">
        <v>46041</v>
      </c>
      <c r="E102" s="142" t="s">
        <v>179</v>
      </c>
      <c r="F102" s="112" t="s">
        <v>159</v>
      </c>
      <c r="G102" s="119" t="s">
        <v>155</v>
      </c>
      <c r="H102" s="120" t="s">
        <v>192</v>
      </c>
      <c r="I102" s="125"/>
      <c r="J102" s="127">
        <v>160</v>
      </c>
    </row>
    <row r="103" spans="4:10" x14ac:dyDescent="0.2">
      <c r="D103" s="2">
        <v>46041</v>
      </c>
      <c r="E103" s="107" t="s">
        <v>156</v>
      </c>
      <c r="F103" s="112" t="s">
        <v>161</v>
      </c>
      <c r="G103" s="119"/>
      <c r="H103" s="120" t="s">
        <v>192</v>
      </c>
      <c r="I103" s="125"/>
      <c r="J103" s="127">
        <v>60</v>
      </c>
    </row>
    <row r="104" spans="4:10" x14ac:dyDescent="0.2">
      <c r="D104" s="2">
        <v>46042</v>
      </c>
      <c r="E104" s="62" t="s">
        <v>42</v>
      </c>
      <c r="F104" s="101" t="s">
        <v>42</v>
      </c>
      <c r="G104" s="63"/>
      <c r="H104" s="63" t="s">
        <v>192</v>
      </c>
      <c r="I104" s="63"/>
      <c r="J104" s="62">
        <v>188</v>
      </c>
    </row>
    <row r="105" spans="4:10" x14ac:dyDescent="0.2">
      <c r="D105" s="2">
        <v>46042</v>
      </c>
      <c r="E105" s="64" t="s">
        <v>41</v>
      </c>
      <c r="F105" s="102" t="s">
        <v>41</v>
      </c>
      <c r="G105" s="65" t="s">
        <v>149</v>
      </c>
      <c r="H105" s="65" t="s">
        <v>192</v>
      </c>
      <c r="I105" s="65"/>
      <c r="J105" s="64">
        <v>64.5</v>
      </c>
    </row>
    <row r="106" spans="4:10" x14ac:dyDescent="0.2">
      <c r="D106" s="2">
        <v>46042</v>
      </c>
      <c r="E106" s="134" t="s">
        <v>243</v>
      </c>
      <c r="F106" s="101" t="s">
        <v>243</v>
      </c>
      <c r="G106" s="63"/>
      <c r="H106" s="63" t="s">
        <v>192</v>
      </c>
      <c r="I106" s="63"/>
      <c r="J106" s="62">
        <v>300</v>
      </c>
    </row>
    <row r="107" spans="4:10" x14ac:dyDescent="0.2">
      <c r="D107" s="2">
        <v>46042</v>
      </c>
      <c r="E107" s="64" t="s">
        <v>157</v>
      </c>
      <c r="F107" s="102" t="s">
        <v>249</v>
      </c>
      <c r="G107" s="65" t="s">
        <v>24</v>
      </c>
      <c r="H107" s="65" t="s">
        <v>192</v>
      </c>
      <c r="I107" s="65"/>
      <c r="J107" s="64">
        <v>230</v>
      </c>
    </row>
    <row r="108" spans="4:10" x14ac:dyDescent="0.2">
      <c r="D108" s="2">
        <v>46042</v>
      </c>
      <c r="E108" s="62" t="s">
        <v>158</v>
      </c>
      <c r="F108" s="101" t="s">
        <v>42</v>
      </c>
      <c r="G108" s="63"/>
      <c r="H108" s="63" t="s">
        <v>192</v>
      </c>
      <c r="I108" s="63"/>
      <c r="J108" s="62">
        <v>354</v>
      </c>
    </row>
    <row r="109" spans="4:10" x14ac:dyDescent="0.2">
      <c r="D109" s="2">
        <v>46043</v>
      </c>
      <c r="E109" s="106" t="s">
        <v>41</v>
      </c>
      <c r="F109" s="112" t="s">
        <v>41</v>
      </c>
      <c r="G109" s="119" t="s">
        <v>149</v>
      </c>
      <c r="H109" s="120" t="s">
        <v>192</v>
      </c>
      <c r="I109" s="125"/>
      <c r="J109" s="127">
        <v>64.5</v>
      </c>
    </row>
    <row r="110" spans="4:10" x14ac:dyDescent="0.2">
      <c r="D110" s="2">
        <v>46043</v>
      </c>
      <c r="E110" s="106" t="s">
        <v>132</v>
      </c>
      <c r="F110" s="112" t="s">
        <v>160</v>
      </c>
      <c r="G110" s="119" t="s">
        <v>137</v>
      </c>
      <c r="H110" s="120" t="s">
        <v>192</v>
      </c>
      <c r="I110" s="125"/>
      <c r="J110" s="127">
        <v>441</v>
      </c>
    </row>
    <row r="111" spans="4:10" x14ac:dyDescent="0.2">
      <c r="D111" s="2">
        <v>46043</v>
      </c>
      <c r="E111" s="66" t="s">
        <v>85</v>
      </c>
      <c r="F111" s="100" t="s">
        <v>242</v>
      </c>
      <c r="G111" s="6"/>
      <c r="H111" s="5" t="s">
        <v>192</v>
      </c>
      <c r="I111" s="9"/>
      <c r="J111" s="1">
        <v>31.5</v>
      </c>
    </row>
    <row r="112" spans="4:10" x14ac:dyDescent="0.2">
      <c r="D112" s="2">
        <v>46043</v>
      </c>
      <c r="E112" s="106" t="s">
        <v>161</v>
      </c>
      <c r="F112" s="112" t="s">
        <v>161</v>
      </c>
      <c r="G112" s="119" t="s">
        <v>166</v>
      </c>
      <c r="H112" s="120" t="s">
        <v>192</v>
      </c>
      <c r="I112" s="125"/>
      <c r="J112" s="127">
        <v>30</v>
      </c>
    </row>
    <row r="113" spans="4:10" x14ac:dyDescent="0.2">
      <c r="D113" s="2">
        <v>46043</v>
      </c>
      <c r="E113" s="135" t="s">
        <v>243</v>
      </c>
      <c r="F113" s="112" t="s">
        <v>243</v>
      </c>
      <c r="G113" s="119"/>
      <c r="H113" s="120" t="s">
        <v>192</v>
      </c>
      <c r="I113" s="125"/>
      <c r="J113" s="127">
        <v>250</v>
      </c>
    </row>
    <row r="114" spans="4:10" x14ac:dyDescent="0.2">
      <c r="D114" s="2">
        <v>46043</v>
      </c>
      <c r="E114" s="66" t="s">
        <v>70</v>
      </c>
      <c r="F114" s="100" t="s">
        <v>9</v>
      </c>
      <c r="G114" s="6" t="s">
        <v>165</v>
      </c>
      <c r="H114" s="5" t="s">
        <v>192</v>
      </c>
      <c r="I114" s="9"/>
      <c r="J114" s="1">
        <v>9</v>
      </c>
    </row>
    <row r="115" spans="4:10" x14ac:dyDescent="0.2">
      <c r="D115" s="2">
        <v>46044</v>
      </c>
      <c r="E115" s="67" t="s">
        <v>167</v>
      </c>
      <c r="F115" s="101" t="s">
        <v>160</v>
      </c>
      <c r="G115" s="63"/>
      <c r="H115" s="63" t="s">
        <v>192</v>
      </c>
      <c r="I115" s="63"/>
      <c r="J115" s="67">
        <v>619.5</v>
      </c>
    </row>
    <row r="116" spans="4:10" x14ac:dyDescent="0.2">
      <c r="D116" s="2">
        <v>46044</v>
      </c>
      <c r="E116" s="68" t="s">
        <v>168</v>
      </c>
      <c r="F116" s="102" t="s">
        <v>41</v>
      </c>
      <c r="G116" s="65" t="s">
        <v>169</v>
      </c>
      <c r="H116" s="65" t="s">
        <v>192</v>
      </c>
      <c r="I116" s="65"/>
      <c r="J116" s="68">
        <v>64.5</v>
      </c>
    </row>
    <row r="117" spans="4:10" x14ac:dyDescent="0.2">
      <c r="D117" s="2">
        <v>46044</v>
      </c>
      <c r="E117" s="68" t="s">
        <v>126</v>
      </c>
      <c r="F117" s="102" t="s">
        <v>126</v>
      </c>
      <c r="G117" s="65"/>
      <c r="H117" s="65" t="s">
        <v>192</v>
      </c>
      <c r="I117" s="65"/>
      <c r="J117" s="68">
        <v>88.5</v>
      </c>
    </row>
    <row r="118" spans="4:10" x14ac:dyDescent="0.2">
      <c r="D118" s="2">
        <v>46044</v>
      </c>
      <c r="E118" s="67" t="s">
        <v>170</v>
      </c>
      <c r="F118" s="101" t="s">
        <v>126</v>
      </c>
      <c r="G118" s="63"/>
      <c r="H118" s="63" t="s">
        <v>192</v>
      </c>
      <c r="I118" s="63"/>
      <c r="J118" s="67">
        <v>17</v>
      </c>
    </row>
    <row r="119" spans="4:10" x14ac:dyDescent="0.2">
      <c r="D119" s="2">
        <v>46044</v>
      </c>
      <c r="E119" s="68" t="s">
        <v>171</v>
      </c>
      <c r="F119" s="102" t="s">
        <v>9</v>
      </c>
      <c r="G119" s="65"/>
      <c r="H119" s="65" t="s">
        <v>192</v>
      </c>
      <c r="I119" s="65"/>
      <c r="J119" s="68">
        <v>14</v>
      </c>
    </row>
    <row r="120" spans="4:10" x14ac:dyDescent="0.2">
      <c r="D120" s="2">
        <v>46044</v>
      </c>
      <c r="E120" s="69" t="s">
        <v>172</v>
      </c>
      <c r="F120" s="100" t="s">
        <v>42</v>
      </c>
      <c r="G120" s="6" t="s">
        <v>173</v>
      </c>
      <c r="H120" s="5" t="s">
        <v>192</v>
      </c>
      <c r="I120" s="9"/>
      <c r="J120" s="1">
        <v>162</v>
      </c>
    </row>
    <row r="121" spans="4:10" x14ac:dyDescent="0.2">
      <c r="D121" s="2">
        <v>46044</v>
      </c>
      <c r="E121" s="117" t="s">
        <v>174</v>
      </c>
      <c r="F121" s="112" t="s">
        <v>189</v>
      </c>
      <c r="G121" s="119"/>
      <c r="H121" s="120" t="s">
        <v>192</v>
      </c>
      <c r="I121" s="125"/>
      <c r="J121" s="127">
        <v>90</v>
      </c>
    </row>
    <row r="122" spans="4:10" x14ac:dyDescent="0.2">
      <c r="D122" s="2">
        <v>46045</v>
      </c>
      <c r="E122" s="70" t="s">
        <v>175</v>
      </c>
      <c r="F122" s="100" t="s">
        <v>161</v>
      </c>
      <c r="G122" s="6" t="s">
        <v>177</v>
      </c>
      <c r="H122" s="5" t="s">
        <v>192</v>
      </c>
      <c r="I122" s="9"/>
      <c r="J122" s="1">
        <v>60</v>
      </c>
    </row>
    <row r="123" spans="4:10" x14ac:dyDescent="0.2">
      <c r="D123" s="2">
        <v>46045</v>
      </c>
      <c r="E123" s="70" t="s">
        <v>21</v>
      </c>
      <c r="F123" s="100" t="s">
        <v>250</v>
      </c>
      <c r="G123" s="6" t="s">
        <v>176</v>
      </c>
      <c r="H123" s="5" t="s">
        <v>192</v>
      </c>
      <c r="I123" s="9"/>
      <c r="J123" s="1">
        <v>52</v>
      </c>
    </row>
    <row r="124" spans="4:10" x14ac:dyDescent="0.2">
      <c r="D124" s="2">
        <v>46046</v>
      </c>
      <c r="E124" s="71" t="s">
        <v>161</v>
      </c>
      <c r="F124" s="101" t="s">
        <v>161</v>
      </c>
      <c r="G124" s="63"/>
      <c r="H124" s="63" t="s">
        <v>192</v>
      </c>
      <c r="I124" s="63"/>
      <c r="J124" s="71">
        <v>30</v>
      </c>
    </row>
    <row r="125" spans="4:10" x14ac:dyDescent="0.2">
      <c r="D125" s="2">
        <v>46046</v>
      </c>
      <c r="E125" s="72" t="s">
        <v>41</v>
      </c>
      <c r="F125" s="102" t="s">
        <v>41</v>
      </c>
      <c r="G125" s="65" t="s">
        <v>162</v>
      </c>
      <c r="H125" s="65" t="s">
        <v>192</v>
      </c>
      <c r="I125" s="65"/>
      <c r="J125" s="72">
        <v>129</v>
      </c>
    </row>
    <row r="126" spans="4:10" x14ac:dyDescent="0.2">
      <c r="D126" s="2">
        <v>46046</v>
      </c>
      <c r="E126" s="71" t="s">
        <v>21</v>
      </c>
      <c r="F126" s="101" t="s">
        <v>250</v>
      </c>
      <c r="G126" s="63" t="s">
        <v>178</v>
      </c>
      <c r="H126" s="63" t="s">
        <v>192</v>
      </c>
      <c r="I126" s="63"/>
      <c r="J126" s="71">
        <v>20</v>
      </c>
    </row>
    <row r="127" spans="4:10" x14ac:dyDescent="0.2">
      <c r="D127" s="2">
        <v>46046</v>
      </c>
      <c r="E127" s="72" t="s">
        <v>40</v>
      </c>
      <c r="F127" s="102" t="s">
        <v>40</v>
      </c>
      <c r="G127" s="65"/>
      <c r="H127" s="65" t="s">
        <v>192</v>
      </c>
      <c r="I127" s="65"/>
      <c r="J127" s="72">
        <v>34</v>
      </c>
    </row>
    <row r="128" spans="4:10" x14ac:dyDescent="0.2">
      <c r="D128" s="2">
        <v>46046</v>
      </c>
      <c r="E128" s="71" t="s">
        <v>179</v>
      </c>
      <c r="F128" s="101" t="s">
        <v>159</v>
      </c>
      <c r="G128" s="63" t="s">
        <v>155</v>
      </c>
      <c r="H128" s="63" t="s">
        <v>192</v>
      </c>
      <c r="I128" s="63"/>
      <c r="J128" s="71">
        <v>80</v>
      </c>
    </row>
    <row r="129" spans="4:10" x14ac:dyDescent="0.2">
      <c r="D129" s="2">
        <v>46046</v>
      </c>
      <c r="E129" s="72" t="s">
        <v>16</v>
      </c>
      <c r="F129" s="102" t="s">
        <v>16</v>
      </c>
      <c r="G129" s="65" t="s">
        <v>128</v>
      </c>
      <c r="H129" s="65" t="s">
        <v>192</v>
      </c>
      <c r="I129" s="65"/>
      <c r="J129" s="72">
        <v>400</v>
      </c>
    </row>
    <row r="130" spans="4:10" x14ac:dyDescent="0.2">
      <c r="D130" s="2">
        <v>46047</v>
      </c>
      <c r="E130" s="74" t="s">
        <v>41</v>
      </c>
      <c r="F130" s="102" t="s">
        <v>41</v>
      </c>
      <c r="G130" s="65"/>
      <c r="H130" s="65" t="s">
        <v>192</v>
      </c>
      <c r="I130" s="65"/>
      <c r="J130" s="74">
        <v>64.5</v>
      </c>
    </row>
    <row r="131" spans="4:10" x14ac:dyDescent="0.2">
      <c r="D131" s="2">
        <v>46047</v>
      </c>
      <c r="E131" s="73" t="s">
        <v>180</v>
      </c>
      <c r="F131" s="101" t="s">
        <v>160</v>
      </c>
      <c r="G131" s="63"/>
      <c r="H131" s="63" t="s">
        <v>192</v>
      </c>
      <c r="I131" s="63"/>
      <c r="J131" s="73">
        <v>441</v>
      </c>
    </row>
    <row r="132" spans="4:10" x14ac:dyDescent="0.2">
      <c r="D132" s="2">
        <v>46047</v>
      </c>
      <c r="E132" s="74" t="s">
        <v>161</v>
      </c>
      <c r="F132" s="102" t="s">
        <v>161</v>
      </c>
      <c r="G132" s="65" t="s">
        <v>164</v>
      </c>
      <c r="H132" s="65" t="s">
        <v>192</v>
      </c>
      <c r="I132" s="65"/>
      <c r="J132" s="74">
        <v>60</v>
      </c>
    </row>
    <row r="133" spans="4:10" x14ac:dyDescent="0.2">
      <c r="D133" s="2">
        <v>46047</v>
      </c>
      <c r="E133" s="73" t="s">
        <v>179</v>
      </c>
      <c r="F133" s="101" t="s">
        <v>159</v>
      </c>
      <c r="G133" s="63" t="s">
        <v>155</v>
      </c>
      <c r="H133" s="63" t="s">
        <v>192</v>
      </c>
      <c r="I133" s="63"/>
      <c r="J133" s="73">
        <v>100</v>
      </c>
    </row>
    <row r="134" spans="4:10" x14ac:dyDescent="0.2">
      <c r="D134" s="2">
        <v>46047</v>
      </c>
      <c r="E134" s="75" t="s">
        <v>21</v>
      </c>
      <c r="F134" s="100" t="s">
        <v>250</v>
      </c>
      <c r="G134" s="6" t="s">
        <v>181</v>
      </c>
      <c r="H134" s="5" t="s">
        <v>192</v>
      </c>
      <c r="I134" s="9"/>
      <c r="J134" s="1">
        <v>29.5</v>
      </c>
    </row>
    <row r="135" spans="4:10" x14ac:dyDescent="0.2">
      <c r="D135" s="2">
        <v>46048</v>
      </c>
      <c r="E135" s="77" t="s">
        <v>180</v>
      </c>
      <c r="F135" s="101" t="s">
        <v>160</v>
      </c>
      <c r="G135" s="63"/>
      <c r="H135" s="63" t="s">
        <v>192</v>
      </c>
      <c r="I135" s="63"/>
      <c r="J135" s="77">
        <v>441</v>
      </c>
    </row>
    <row r="136" spans="4:10" x14ac:dyDescent="0.2">
      <c r="D136" s="2">
        <v>46048</v>
      </c>
      <c r="E136" s="76" t="s">
        <v>182</v>
      </c>
      <c r="F136" s="102" t="s">
        <v>41</v>
      </c>
      <c r="G136" s="65"/>
      <c r="H136" s="65" t="s">
        <v>192</v>
      </c>
      <c r="I136" s="65"/>
      <c r="J136" s="76">
        <v>129</v>
      </c>
    </row>
    <row r="137" spans="4:10" x14ac:dyDescent="0.2">
      <c r="D137" s="2">
        <v>46048</v>
      </c>
      <c r="E137" s="77" t="s">
        <v>81</v>
      </c>
      <c r="F137" s="101" t="s">
        <v>81</v>
      </c>
      <c r="G137" s="63" t="s">
        <v>13</v>
      </c>
      <c r="H137" s="63" t="s">
        <v>192</v>
      </c>
      <c r="I137" s="63"/>
      <c r="J137" s="77">
        <v>85</v>
      </c>
    </row>
    <row r="138" spans="4:10" x14ac:dyDescent="0.2">
      <c r="D138" s="2">
        <v>46048</v>
      </c>
      <c r="E138" s="76" t="s">
        <v>161</v>
      </c>
      <c r="F138" s="102" t="s">
        <v>161</v>
      </c>
      <c r="G138" s="65" t="s">
        <v>164</v>
      </c>
      <c r="H138" s="65" t="s">
        <v>192</v>
      </c>
      <c r="I138" s="65"/>
      <c r="J138" s="76">
        <v>60</v>
      </c>
    </row>
    <row r="139" spans="4:10" x14ac:dyDescent="0.2">
      <c r="D139" s="2">
        <v>46048</v>
      </c>
      <c r="E139" s="77" t="s">
        <v>183</v>
      </c>
      <c r="F139" s="101" t="s">
        <v>42</v>
      </c>
      <c r="G139" s="63"/>
      <c r="H139" s="63" t="s">
        <v>192</v>
      </c>
      <c r="I139" s="63"/>
      <c r="J139" s="77">
        <v>90</v>
      </c>
    </row>
    <row r="140" spans="4:10" x14ac:dyDescent="0.2">
      <c r="D140" s="2">
        <v>46048</v>
      </c>
      <c r="E140" s="76" t="s">
        <v>21</v>
      </c>
      <c r="F140" s="102" t="s">
        <v>250</v>
      </c>
      <c r="G140" s="65"/>
      <c r="H140" s="65" t="s">
        <v>192</v>
      </c>
      <c r="I140" s="65"/>
      <c r="J140" s="76">
        <v>48</v>
      </c>
    </row>
    <row r="141" spans="4:10" x14ac:dyDescent="0.2">
      <c r="D141" s="2">
        <v>46048</v>
      </c>
      <c r="E141" s="78" t="s">
        <v>152</v>
      </c>
      <c r="F141" s="100" t="s">
        <v>249</v>
      </c>
      <c r="G141" s="6"/>
      <c r="H141" s="5" t="s">
        <v>192</v>
      </c>
      <c r="I141" s="9"/>
      <c r="J141" s="1">
        <v>400</v>
      </c>
    </row>
    <row r="142" spans="4:10" x14ac:dyDescent="0.2">
      <c r="D142" s="2">
        <v>46048</v>
      </c>
      <c r="E142" s="78" t="s">
        <v>184</v>
      </c>
      <c r="F142" s="100" t="s">
        <v>9</v>
      </c>
      <c r="G142" s="6"/>
      <c r="H142" s="5" t="s">
        <v>192</v>
      </c>
      <c r="I142" s="9"/>
      <c r="J142" s="1">
        <v>134</v>
      </c>
    </row>
    <row r="143" spans="4:10" x14ac:dyDescent="0.2">
      <c r="D143" s="2">
        <v>46049</v>
      </c>
      <c r="E143" s="145" t="s">
        <v>290</v>
      </c>
      <c r="F143" s="6" t="s">
        <v>291</v>
      </c>
      <c r="G143" s="6" t="s">
        <v>289</v>
      </c>
      <c r="H143" s="6" t="s">
        <v>192</v>
      </c>
      <c r="I143" s="9"/>
      <c r="J143" s="1">
        <v>3000</v>
      </c>
    </row>
    <row r="144" spans="4:10" x14ac:dyDescent="0.2">
      <c r="D144" s="2">
        <v>46049</v>
      </c>
      <c r="E144" s="79" t="s">
        <v>180</v>
      </c>
      <c r="F144" s="101" t="s">
        <v>160</v>
      </c>
      <c r="G144" s="63"/>
      <c r="H144" s="63" t="s">
        <v>192</v>
      </c>
      <c r="I144" s="63"/>
      <c r="J144" s="79">
        <v>441</v>
      </c>
    </row>
    <row r="145" spans="4:10" x14ac:dyDescent="0.2">
      <c r="D145" s="2">
        <v>46049</v>
      </c>
      <c r="E145" s="80" t="s">
        <v>161</v>
      </c>
      <c r="F145" s="102" t="s">
        <v>161</v>
      </c>
      <c r="G145" s="65"/>
      <c r="H145" s="65" t="s">
        <v>192</v>
      </c>
      <c r="I145" s="65"/>
      <c r="J145" s="80">
        <v>30</v>
      </c>
    </row>
    <row r="146" spans="4:10" x14ac:dyDescent="0.2">
      <c r="D146" s="2">
        <v>46049</v>
      </c>
      <c r="E146" s="80" t="s">
        <v>152</v>
      </c>
      <c r="F146" s="102" t="s">
        <v>249</v>
      </c>
      <c r="G146" s="65"/>
      <c r="H146" s="65" t="s">
        <v>192</v>
      </c>
      <c r="I146" s="65"/>
      <c r="J146" s="80">
        <v>400</v>
      </c>
    </row>
    <row r="147" spans="4:10" x14ac:dyDescent="0.2">
      <c r="D147" s="2">
        <v>46049</v>
      </c>
      <c r="E147" s="80" t="s">
        <v>183</v>
      </c>
      <c r="F147" s="102" t="s">
        <v>42</v>
      </c>
      <c r="G147" s="65"/>
      <c r="H147" s="65" t="s">
        <v>192</v>
      </c>
      <c r="I147" s="65"/>
      <c r="J147" s="80">
        <v>90</v>
      </c>
    </row>
    <row r="148" spans="4:10" x14ac:dyDescent="0.2">
      <c r="D148" s="2">
        <v>46049</v>
      </c>
      <c r="E148" s="142" t="s">
        <v>179</v>
      </c>
      <c r="F148" s="112" t="s">
        <v>159</v>
      </c>
      <c r="G148" s="119" t="s">
        <v>155</v>
      </c>
      <c r="H148" s="120" t="s">
        <v>192</v>
      </c>
      <c r="I148" s="125"/>
      <c r="J148" s="127">
        <v>160</v>
      </c>
    </row>
    <row r="149" spans="4:10" x14ac:dyDescent="0.2">
      <c r="D149" s="2">
        <v>46049</v>
      </c>
      <c r="E149" s="130" t="s">
        <v>146</v>
      </c>
      <c r="F149" s="112" t="s">
        <v>126</v>
      </c>
      <c r="G149" s="119" t="s">
        <v>186</v>
      </c>
      <c r="H149" s="120" t="s">
        <v>192</v>
      </c>
      <c r="I149" s="125"/>
      <c r="J149" s="127">
        <v>161</v>
      </c>
    </row>
    <row r="150" spans="4:10" x14ac:dyDescent="0.2">
      <c r="D150" s="2">
        <v>46050</v>
      </c>
      <c r="E150" s="82" t="s">
        <v>81</v>
      </c>
      <c r="F150" s="102" t="s">
        <v>81</v>
      </c>
      <c r="G150" s="65"/>
      <c r="H150" s="65" t="s">
        <v>192</v>
      </c>
      <c r="I150" s="65"/>
      <c r="J150" s="85">
        <v>90</v>
      </c>
    </row>
    <row r="151" spans="4:10" x14ac:dyDescent="0.2">
      <c r="D151" s="2">
        <v>46050</v>
      </c>
      <c r="E151" s="81" t="s">
        <v>187</v>
      </c>
      <c r="F151" s="101" t="s">
        <v>242</v>
      </c>
      <c r="G151" s="63"/>
      <c r="H151" s="63" t="s">
        <v>192</v>
      </c>
      <c r="I151" s="63"/>
      <c r="J151" s="84">
        <v>79</v>
      </c>
    </row>
    <row r="152" spans="4:10" x14ac:dyDescent="0.2">
      <c r="D152" s="2">
        <v>46050</v>
      </c>
      <c r="E152" s="83" t="s">
        <v>188</v>
      </c>
      <c r="F152" s="100" t="s">
        <v>160</v>
      </c>
      <c r="G152" s="6"/>
      <c r="H152" s="5" t="s">
        <v>192</v>
      </c>
      <c r="I152" s="9"/>
      <c r="J152" s="1">
        <v>3000</v>
      </c>
    </row>
    <row r="153" spans="4:10" x14ac:dyDescent="0.2">
      <c r="D153" s="2">
        <v>46050</v>
      </c>
      <c r="E153" s="86" t="s">
        <v>190</v>
      </c>
      <c r="F153" s="100" t="s">
        <v>9</v>
      </c>
      <c r="G153" s="6" t="s">
        <v>191</v>
      </c>
      <c r="H153" s="5" t="s">
        <v>192</v>
      </c>
      <c r="I153" s="9"/>
      <c r="J153" s="1">
        <v>100</v>
      </c>
    </row>
    <row r="154" spans="4:10" x14ac:dyDescent="0.2">
      <c r="D154" s="2">
        <v>46050</v>
      </c>
      <c r="E154" s="145" t="s">
        <v>159</v>
      </c>
      <c r="F154" s="6" t="s">
        <v>296</v>
      </c>
      <c r="G154" s="6" t="s">
        <v>297</v>
      </c>
      <c r="H154" s="6" t="s">
        <v>192</v>
      </c>
      <c r="I154" s="9"/>
      <c r="J154" s="1">
        <v>6000</v>
      </c>
    </row>
    <row r="155" spans="4:10" x14ac:dyDescent="0.2">
      <c r="D155" s="2">
        <v>46051</v>
      </c>
      <c r="E155" s="88" t="s">
        <v>8</v>
      </c>
      <c r="F155" s="102" t="s">
        <v>42</v>
      </c>
      <c r="G155" s="65" t="s">
        <v>192</v>
      </c>
      <c r="H155" s="65" t="s">
        <v>192</v>
      </c>
      <c r="I155" s="65"/>
      <c r="J155" s="88">
        <v>84</v>
      </c>
    </row>
    <row r="156" spans="4:10" x14ac:dyDescent="0.2">
      <c r="D156" s="2">
        <v>46051</v>
      </c>
      <c r="E156" s="87" t="s">
        <v>161</v>
      </c>
      <c r="F156" s="101" t="s">
        <v>161</v>
      </c>
      <c r="G156" s="63" t="s">
        <v>164</v>
      </c>
      <c r="H156" s="63" t="s">
        <v>192</v>
      </c>
      <c r="I156" s="63"/>
      <c r="J156" s="87">
        <v>60</v>
      </c>
    </row>
    <row r="157" spans="4:10" x14ac:dyDescent="0.2">
      <c r="D157" s="2">
        <v>46051</v>
      </c>
      <c r="E157" s="89" t="s">
        <v>21</v>
      </c>
      <c r="F157" s="100" t="s">
        <v>250</v>
      </c>
      <c r="G157" s="6"/>
      <c r="H157" s="5" t="s">
        <v>192</v>
      </c>
      <c r="I157" s="9"/>
      <c r="J157" s="1">
        <v>22</v>
      </c>
    </row>
    <row r="158" spans="4:10" x14ac:dyDescent="0.2">
      <c r="D158" s="2">
        <v>46051</v>
      </c>
      <c r="E158" s="89" t="s">
        <v>146</v>
      </c>
      <c r="F158" s="100" t="s">
        <v>126</v>
      </c>
      <c r="G158" s="6" t="s">
        <v>193</v>
      </c>
      <c r="H158" s="5" t="s">
        <v>192</v>
      </c>
      <c r="I158" s="9"/>
      <c r="J158" s="1">
        <v>24</v>
      </c>
    </row>
    <row r="159" spans="4:10" x14ac:dyDescent="0.2">
      <c r="D159" s="2">
        <v>46051</v>
      </c>
      <c r="E159" s="100" t="s">
        <v>282</v>
      </c>
      <c r="F159" s="100" t="s">
        <v>194</v>
      </c>
      <c r="G159" s="5" t="s">
        <v>194</v>
      </c>
      <c r="H159" s="5" t="s">
        <v>192</v>
      </c>
      <c r="I159" s="9"/>
      <c r="J159" s="1">
        <v>2000</v>
      </c>
    </row>
    <row r="160" spans="4:10" x14ac:dyDescent="0.2">
      <c r="D160" s="2">
        <v>46051</v>
      </c>
      <c r="E160" s="89" t="s">
        <v>195</v>
      </c>
      <c r="F160" s="100" t="s">
        <v>249</v>
      </c>
      <c r="G160" s="6" t="s">
        <v>163</v>
      </c>
      <c r="H160" s="5" t="s">
        <v>192</v>
      </c>
      <c r="I160" s="9"/>
      <c r="J160" s="1">
        <v>500</v>
      </c>
    </row>
    <row r="161" spans="4:10" x14ac:dyDescent="0.2">
      <c r="D161" s="2">
        <v>46051</v>
      </c>
      <c r="E161" s="143" t="s">
        <v>280</v>
      </c>
      <c r="F161" s="120" t="s">
        <v>98</v>
      </c>
      <c r="G161" s="120"/>
      <c r="H161" s="120" t="s">
        <v>192</v>
      </c>
      <c r="I161" s="131"/>
      <c r="J161" s="127">
        <v>400</v>
      </c>
    </row>
    <row r="162" spans="4:10" x14ac:dyDescent="0.2">
      <c r="D162" s="2">
        <v>46052</v>
      </c>
      <c r="E162" s="90" t="s">
        <v>81</v>
      </c>
      <c r="F162" s="102" t="s">
        <v>81</v>
      </c>
      <c r="G162" s="65" t="s">
        <v>13</v>
      </c>
      <c r="H162" s="65" t="s">
        <v>192</v>
      </c>
      <c r="I162" s="65"/>
      <c r="J162" s="90">
        <v>70</v>
      </c>
    </row>
    <row r="163" spans="4:10" x14ac:dyDescent="0.2">
      <c r="D163" s="2">
        <v>46052</v>
      </c>
      <c r="E163" s="91" t="s">
        <v>21</v>
      </c>
      <c r="F163" s="100" t="s">
        <v>250</v>
      </c>
      <c r="G163" s="6" t="s">
        <v>197</v>
      </c>
      <c r="H163" s="5" t="s">
        <v>192</v>
      </c>
      <c r="I163" s="9"/>
      <c r="J163" s="1">
        <v>100</v>
      </c>
    </row>
    <row r="164" spans="4:10" x14ac:dyDescent="0.2">
      <c r="D164" s="2">
        <v>46052</v>
      </c>
      <c r="E164" s="91" t="s">
        <v>146</v>
      </c>
      <c r="F164" s="100" t="s">
        <v>126</v>
      </c>
      <c r="G164" s="6"/>
      <c r="H164" s="5" t="s">
        <v>192</v>
      </c>
      <c r="I164" s="9"/>
      <c r="J164" s="1">
        <v>30.5</v>
      </c>
    </row>
    <row r="165" spans="4:10" x14ac:dyDescent="0.2">
      <c r="D165" s="2">
        <v>46053</v>
      </c>
      <c r="E165" s="91" t="s">
        <v>8</v>
      </c>
      <c r="F165" s="100" t="s">
        <v>42</v>
      </c>
      <c r="G165" s="6" t="s">
        <v>192</v>
      </c>
      <c r="H165" s="5" t="s">
        <v>192</v>
      </c>
      <c r="I165" s="9"/>
      <c r="J165" s="1">
        <v>124</v>
      </c>
    </row>
    <row r="166" spans="4:10" x14ac:dyDescent="0.2">
      <c r="D166" s="104">
        <v>46053</v>
      </c>
      <c r="E166" s="133" t="s">
        <v>199</v>
      </c>
      <c r="F166" s="5" t="s">
        <v>41</v>
      </c>
      <c r="G166" s="5"/>
      <c r="H166" s="5" t="s">
        <v>192</v>
      </c>
      <c r="I166" s="96"/>
      <c r="J166" s="1">
        <v>129</v>
      </c>
    </row>
    <row r="167" spans="4:10" x14ac:dyDescent="0.2">
      <c r="D167" s="2">
        <v>46053</v>
      </c>
      <c r="E167" s="100" t="s">
        <v>282</v>
      </c>
      <c r="F167" s="132" t="s">
        <v>194</v>
      </c>
      <c r="G167" s="5" t="s">
        <v>194</v>
      </c>
      <c r="H167" s="5" t="s">
        <v>192</v>
      </c>
      <c r="I167" s="9"/>
      <c r="J167" s="1">
        <v>2000</v>
      </c>
    </row>
    <row r="168" spans="4:10" x14ac:dyDescent="0.2">
      <c r="D168" s="2">
        <v>46053</v>
      </c>
      <c r="E168" s="108" t="s">
        <v>40</v>
      </c>
      <c r="F168" s="100" t="s">
        <v>40</v>
      </c>
      <c r="G168" s="6" t="s">
        <v>200</v>
      </c>
      <c r="H168" s="5" t="s">
        <v>192</v>
      </c>
      <c r="I168" s="125"/>
      <c r="J168" s="127">
        <v>35</v>
      </c>
    </row>
    <row r="169" spans="4:10" x14ac:dyDescent="0.2">
      <c r="D169" s="2">
        <v>46053</v>
      </c>
      <c r="E169" s="108" t="s">
        <v>201</v>
      </c>
      <c r="F169" s="112" t="s">
        <v>242</v>
      </c>
      <c r="G169" s="119" t="s">
        <v>202</v>
      </c>
      <c r="H169" s="120" t="s">
        <v>192</v>
      </c>
      <c r="I169" s="125"/>
      <c r="J169" s="127">
        <v>1050</v>
      </c>
    </row>
    <row r="170" spans="4:10" x14ac:dyDescent="0.2">
      <c r="D170" s="2">
        <v>46053</v>
      </c>
      <c r="E170" s="128" t="s">
        <v>146</v>
      </c>
      <c r="F170" s="100" t="s">
        <v>126</v>
      </c>
      <c r="G170" s="6"/>
      <c r="H170" s="5" t="s">
        <v>192</v>
      </c>
      <c r="I170" s="9"/>
      <c r="J170" s="1">
        <v>22</v>
      </c>
    </row>
    <row r="171" spans="4:10" x14ac:dyDescent="0.2">
      <c r="D171" s="2">
        <v>46053</v>
      </c>
      <c r="E171" s="91" t="s">
        <v>161</v>
      </c>
      <c r="F171" s="100" t="s">
        <v>161</v>
      </c>
      <c r="G171" s="6" t="s">
        <v>192</v>
      </c>
      <c r="H171" s="5" t="s">
        <v>192</v>
      </c>
      <c r="I171" s="9"/>
      <c r="J171" s="1">
        <v>30</v>
      </c>
    </row>
    <row r="172" spans="4:10" x14ac:dyDescent="0.2">
      <c r="D172" s="2">
        <v>46053</v>
      </c>
      <c r="E172" s="91" t="s">
        <v>152</v>
      </c>
      <c r="F172" s="100" t="s">
        <v>249</v>
      </c>
      <c r="G172" s="6" t="s">
        <v>192</v>
      </c>
      <c r="H172" s="5" t="s">
        <v>192</v>
      </c>
      <c r="I172" s="9"/>
      <c r="J172" s="1">
        <v>400</v>
      </c>
    </row>
    <row r="173" spans="4:10" x14ac:dyDescent="0.2">
      <c r="D173" s="2">
        <v>46053</v>
      </c>
      <c r="E173" s="108" t="s">
        <v>32</v>
      </c>
      <c r="F173" s="112" t="s">
        <v>16</v>
      </c>
      <c r="G173" s="119"/>
      <c r="H173" s="120" t="s">
        <v>192</v>
      </c>
      <c r="I173" s="125"/>
      <c r="J173" s="127">
        <v>300</v>
      </c>
    </row>
    <row r="174" spans="4:10" x14ac:dyDescent="0.2">
      <c r="D174" s="2">
        <v>46053</v>
      </c>
      <c r="E174" s="129" t="s">
        <v>286</v>
      </c>
      <c r="F174" s="119" t="s">
        <v>98</v>
      </c>
      <c r="G174" s="119" t="s">
        <v>287</v>
      </c>
      <c r="H174" s="119" t="s">
        <v>192</v>
      </c>
      <c r="I174" s="125"/>
      <c r="J174" s="127">
        <v>4000</v>
      </c>
    </row>
    <row r="175" spans="4:10" x14ac:dyDescent="0.2">
      <c r="D175" s="7"/>
      <c r="E175" s="8"/>
      <c r="F175" s="8"/>
      <c r="G175" s="8"/>
      <c r="H175" s="8"/>
      <c r="I175" s="8">
        <f>SUBTOTAL(109,الجدول16789122332455318[ايداع])</f>
        <v>0</v>
      </c>
      <c r="J175" s="8">
        <f>SUBTOTAL(109,الجدول16789122332455318[صرف])</f>
        <v>90856</v>
      </c>
    </row>
  </sheetData>
  <mergeCells count="2">
    <mergeCell ref="D2:J2"/>
    <mergeCell ref="L3:M3"/>
  </mergeCells>
  <hyperlinks>
    <hyperlink ref="L3:M3" location="القائمه!A1" display="القائمه"/>
  </hyperlinks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3"/>
  <sheetViews>
    <sheetView rightToLeft="1" tabSelected="1" topLeftCell="D111" zoomScale="115" zoomScaleNormal="115" workbookViewId="0">
      <selection activeCell="E111" sqref="E111"/>
    </sheetView>
  </sheetViews>
  <sheetFormatPr defaultRowHeight="14.25" x14ac:dyDescent="0.2"/>
  <cols>
    <col min="1" max="1" width="3.625" style="1" hidden="1" customWidth="1"/>
    <col min="2" max="3" width="9.125" style="1" hidden="1" customWidth="1"/>
    <col min="4" max="4" width="10.25" style="2" bestFit="1" customWidth="1"/>
    <col min="5" max="5" width="37.5" style="1" customWidth="1"/>
    <col min="6" max="6" width="14.875" style="1" customWidth="1"/>
    <col min="7" max="7" width="41.25" style="1" bestFit="1" customWidth="1"/>
    <col min="8" max="8" width="9.875" style="1" customWidth="1"/>
    <col min="9" max="9" width="6.125" style="1" bestFit="1" customWidth="1"/>
    <col min="10" max="10" width="7.875" style="1" bestFit="1" customWidth="1"/>
    <col min="11" max="11" width="9" style="1"/>
    <col min="12" max="12" width="6.125" style="1" customWidth="1"/>
    <col min="13" max="16384" width="9" style="1"/>
  </cols>
  <sheetData>
    <row r="2" spans="4:13" ht="15.75" x14ac:dyDescent="0.25">
      <c r="D2" s="163" t="s">
        <v>0</v>
      </c>
      <c r="E2" s="163"/>
      <c r="F2" s="163"/>
      <c r="G2" s="163"/>
      <c r="H2" s="163"/>
      <c r="I2" s="163"/>
      <c r="J2" s="163"/>
    </row>
    <row r="3" spans="4:13" x14ac:dyDescent="0.2">
      <c r="D3" s="2" t="s">
        <v>2</v>
      </c>
      <c r="E3" s="1" t="s">
        <v>3</v>
      </c>
      <c r="F3" s="100" t="s">
        <v>240</v>
      </c>
      <c r="G3" s="3" t="s">
        <v>4</v>
      </c>
      <c r="H3" s="100" t="s">
        <v>192</v>
      </c>
      <c r="I3" s="3" t="s">
        <v>5</v>
      </c>
      <c r="J3" s="3" t="s">
        <v>6</v>
      </c>
      <c r="L3" s="164" t="s">
        <v>7</v>
      </c>
      <c r="M3" s="164"/>
    </row>
    <row r="4" spans="4:13" x14ac:dyDescent="0.2">
      <c r="G4" s="49"/>
      <c r="H4" s="49"/>
      <c r="I4" s="1">
        <v>0</v>
      </c>
      <c r="J4" s="1">
        <v>0</v>
      </c>
      <c r="L4" s="164"/>
      <c r="M4" s="164"/>
    </row>
    <row r="5" spans="4:13" x14ac:dyDescent="0.2">
      <c r="D5" s="2">
        <v>46054</v>
      </c>
      <c r="E5" s="93" t="s">
        <v>85</v>
      </c>
      <c r="F5" s="102" t="s">
        <v>242</v>
      </c>
      <c r="G5" s="65"/>
      <c r="H5" s="65" t="s">
        <v>192</v>
      </c>
      <c r="I5" s="65"/>
      <c r="J5" s="93">
        <v>31.5</v>
      </c>
    </row>
    <row r="6" spans="4:13" x14ac:dyDescent="0.2">
      <c r="D6" s="2">
        <v>46054</v>
      </c>
      <c r="E6" s="92" t="s">
        <v>198</v>
      </c>
      <c r="F6" s="101" t="s">
        <v>41</v>
      </c>
      <c r="G6" s="63">
        <v>1</v>
      </c>
      <c r="H6" s="63" t="s">
        <v>192</v>
      </c>
      <c r="I6" s="63"/>
      <c r="J6" s="92">
        <v>64.5</v>
      </c>
    </row>
    <row r="7" spans="4:13" x14ac:dyDescent="0.2">
      <c r="D7" s="2">
        <v>46054</v>
      </c>
      <c r="E7" s="93" t="s">
        <v>205</v>
      </c>
      <c r="F7" s="102" t="s">
        <v>160</v>
      </c>
      <c r="G7" s="65" t="s">
        <v>192</v>
      </c>
      <c r="H7" s="65" t="s">
        <v>192</v>
      </c>
      <c r="I7" s="65"/>
      <c r="J7" s="93">
        <v>760</v>
      </c>
    </row>
    <row r="8" spans="4:13" x14ac:dyDescent="0.2">
      <c r="D8" s="2">
        <v>46054</v>
      </c>
      <c r="E8" s="94" t="s">
        <v>42</v>
      </c>
      <c r="F8" s="100" t="s">
        <v>42</v>
      </c>
      <c r="G8" s="6"/>
      <c r="H8" s="5" t="s">
        <v>192</v>
      </c>
      <c r="I8" s="9"/>
      <c r="J8" s="1">
        <v>186</v>
      </c>
    </row>
    <row r="9" spans="4:13" x14ac:dyDescent="0.2">
      <c r="D9" s="2">
        <v>46054</v>
      </c>
      <c r="E9" s="94" t="s">
        <v>40</v>
      </c>
      <c r="F9" s="100" t="s">
        <v>40</v>
      </c>
      <c r="G9" s="6"/>
      <c r="H9" s="5" t="s">
        <v>192</v>
      </c>
      <c r="I9" s="9"/>
      <c r="J9" s="1">
        <v>80</v>
      </c>
    </row>
    <row r="10" spans="4:13" x14ac:dyDescent="0.2">
      <c r="D10" s="2">
        <v>46054</v>
      </c>
      <c r="E10" s="94" t="s">
        <v>21</v>
      </c>
      <c r="F10" s="100" t="s">
        <v>250</v>
      </c>
      <c r="G10" s="95"/>
      <c r="H10" s="4" t="s">
        <v>192</v>
      </c>
      <c r="I10" s="9"/>
      <c r="J10" s="1">
        <v>57.5</v>
      </c>
    </row>
    <row r="11" spans="4:13" x14ac:dyDescent="0.2">
      <c r="D11" s="2">
        <v>46054</v>
      </c>
      <c r="E11" s="94" t="s">
        <v>206</v>
      </c>
      <c r="F11" s="100" t="s">
        <v>16</v>
      </c>
      <c r="G11" s="6"/>
      <c r="H11" s="5" t="s">
        <v>192</v>
      </c>
      <c r="I11" s="9"/>
      <c r="J11" s="1">
        <v>100</v>
      </c>
    </row>
    <row r="12" spans="4:13" x14ac:dyDescent="0.2">
      <c r="D12" s="2">
        <v>46055</v>
      </c>
      <c r="E12" s="94" t="s">
        <v>207</v>
      </c>
      <c r="F12" s="100" t="s">
        <v>160</v>
      </c>
      <c r="G12" s="6" t="s">
        <v>192</v>
      </c>
      <c r="H12" s="5" t="s">
        <v>192</v>
      </c>
      <c r="I12" s="9"/>
      <c r="J12" s="1">
        <v>836</v>
      </c>
    </row>
    <row r="13" spans="4:13" x14ac:dyDescent="0.2">
      <c r="D13" s="2">
        <v>46055</v>
      </c>
      <c r="E13" s="94" t="s">
        <v>42</v>
      </c>
      <c r="F13" s="100" t="s">
        <v>42</v>
      </c>
      <c r="G13" s="6"/>
      <c r="H13" s="5" t="s">
        <v>192</v>
      </c>
      <c r="I13" s="9"/>
      <c r="J13" s="1">
        <v>170</v>
      </c>
    </row>
    <row r="14" spans="4:13" x14ac:dyDescent="0.2">
      <c r="D14" s="2">
        <v>46055</v>
      </c>
      <c r="E14" s="94" t="s">
        <v>196</v>
      </c>
      <c r="F14" s="100" t="s">
        <v>41</v>
      </c>
      <c r="G14" s="6">
        <v>4</v>
      </c>
      <c r="H14" s="5" t="s">
        <v>192</v>
      </c>
      <c r="I14" s="9"/>
      <c r="J14" s="1">
        <v>258</v>
      </c>
    </row>
    <row r="15" spans="4:13" x14ac:dyDescent="0.2">
      <c r="D15" s="2">
        <v>46055</v>
      </c>
      <c r="E15" s="94" t="s">
        <v>11</v>
      </c>
      <c r="F15" s="100" t="s">
        <v>81</v>
      </c>
      <c r="G15" s="6" t="s">
        <v>13</v>
      </c>
      <c r="H15" s="5" t="s">
        <v>192</v>
      </c>
      <c r="I15" s="9"/>
      <c r="J15" s="1">
        <v>70</v>
      </c>
    </row>
    <row r="16" spans="4:13" x14ac:dyDescent="0.2">
      <c r="D16" s="2">
        <v>46055</v>
      </c>
      <c r="E16" s="94" t="s">
        <v>21</v>
      </c>
      <c r="F16" s="100" t="s">
        <v>250</v>
      </c>
      <c r="G16" s="95"/>
      <c r="H16" s="4" t="s">
        <v>192</v>
      </c>
      <c r="I16" s="9"/>
      <c r="J16" s="1">
        <v>96.5</v>
      </c>
    </row>
    <row r="17" spans="4:10" x14ac:dyDescent="0.2">
      <c r="D17" s="2">
        <v>46055</v>
      </c>
      <c r="E17" s="94" t="s">
        <v>126</v>
      </c>
      <c r="F17" s="100" t="s">
        <v>126</v>
      </c>
      <c r="G17" s="6"/>
      <c r="H17" s="5" t="s">
        <v>192</v>
      </c>
      <c r="I17" s="9"/>
      <c r="J17" s="1">
        <v>61.5</v>
      </c>
    </row>
    <row r="18" spans="4:10" x14ac:dyDescent="0.2">
      <c r="D18" s="2">
        <v>46055</v>
      </c>
      <c r="E18" s="136" t="s">
        <v>81</v>
      </c>
      <c r="F18" s="112" t="s">
        <v>81</v>
      </c>
      <c r="G18" s="119" t="s">
        <v>208</v>
      </c>
      <c r="H18" s="120" t="s">
        <v>192</v>
      </c>
      <c r="I18" s="125"/>
      <c r="J18" s="127">
        <v>500</v>
      </c>
    </row>
    <row r="19" spans="4:10" x14ac:dyDescent="0.2">
      <c r="D19" s="2">
        <v>46055</v>
      </c>
      <c r="E19" s="133" t="s">
        <v>243</v>
      </c>
      <c r="F19" s="100" t="s">
        <v>243</v>
      </c>
      <c r="G19" s="6"/>
      <c r="H19" s="5" t="s">
        <v>192</v>
      </c>
      <c r="I19" s="9"/>
      <c r="J19" s="1">
        <v>200</v>
      </c>
    </row>
    <row r="20" spans="4:10" x14ac:dyDescent="0.2">
      <c r="D20" s="2">
        <v>46056</v>
      </c>
      <c r="E20" s="94" t="s">
        <v>204</v>
      </c>
      <c r="F20" s="100" t="s">
        <v>160</v>
      </c>
      <c r="G20" s="5" t="s">
        <v>192</v>
      </c>
      <c r="H20" s="5" t="s">
        <v>192</v>
      </c>
      <c r="I20" s="9"/>
      <c r="J20" s="1">
        <v>950</v>
      </c>
    </row>
    <row r="21" spans="4:10" x14ac:dyDescent="0.2">
      <c r="D21" s="2">
        <v>46056</v>
      </c>
      <c r="E21" s="100" t="s">
        <v>209</v>
      </c>
      <c r="F21" s="100" t="s">
        <v>242</v>
      </c>
      <c r="G21" s="5" t="s">
        <v>92</v>
      </c>
      <c r="H21" s="5" t="s">
        <v>192</v>
      </c>
      <c r="I21" s="9"/>
      <c r="J21" s="1">
        <v>35</v>
      </c>
    </row>
    <row r="22" spans="4:10" x14ac:dyDescent="0.2">
      <c r="D22" s="2">
        <v>46056</v>
      </c>
      <c r="E22" s="94" t="s">
        <v>42</v>
      </c>
      <c r="F22" s="100" t="s">
        <v>42</v>
      </c>
      <c r="G22" s="5"/>
      <c r="H22" s="5" t="s">
        <v>192</v>
      </c>
      <c r="I22" s="9"/>
      <c r="J22" s="1">
        <v>210</v>
      </c>
    </row>
    <row r="23" spans="4:10" x14ac:dyDescent="0.2">
      <c r="D23" s="2">
        <v>46056</v>
      </c>
      <c r="E23" s="94" t="s">
        <v>199</v>
      </c>
      <c r="F23" s="100" t="s">
        <v>41</v>
      </c>
      <c r="G23" s="5">
        <v>2</v>
      </c>
      <c r="H23" s="5" t="s">
        <v>192</v>
      </c>
      <c r="I23" s="9"/>
      <c r="J23" s="1">
        <v>129</v>
      </c>
    </row>
    <row r="24" spans="4:10" x14ac:dyDescent="0.2">
      <c r="D24" s="2">
        <v>46056</v>
      </c>
      <c r="E24" s="100" t="s">
        <v>285</v>
      </c>
      <c r="F24" s="100" t="s">
        <v>160</v>
      </c>
      <c r="G24" s="95"/>
      <c r="H24" s="4" t="s">
        <v>192</v>
      </c>
      <c r="I24" s="9"/>
      <c r="J24" s="97">
        <v>63</v>
      </c>
    </row>
    <row r="25" spans="4:10" x14ac:dyDescent="0.2">
      <c r="D25" s="2">
        <v>46056</v>
      </c>
      <c r="E25" s="136" t="s">
        <v>81</v>
      </c>
      <c r="F25" s="112" t="s">
        <v>81</v>
      </c>
      <c r="G25" s="120" t="s">
        <v>13</v>
      </c>
      <c r="H25" s="120" t="s">
        <v>192</v>
      </c>
      <c r="I25" s="125"/>
      <c r="J25" s="127">
        <v>85</v>
      </c>
    </row>
    <row r="26" spans="4:10" x14ac:dyDescent="0.2">
      <c r="D26" s="2">
        <v>46056</v>
      </c>
      <c r="E26" s="94" t="s">
        <v>210</v>
      </c>
      <c r="F26" s="100" t="s">
        <v>9</v>
      </c>
      <c r="G26" s="5" t="s">
        <v>211</v>
      </c>
      <c r="H26" s="5" t="s">
        <v>192</v>
      </c>
      <c r="I26" s="9"/>
      <c r="J26" s="1">
        <v>95</v>
      </c>
    </row>
    <row r="27" spans="4:10" x14ac:dyDescent="0.2">
      <c r="D27" s="2">
        <v>46056</v>
      </c>
      <c r="E27" s="94" t="s">
        <v>161</v>
      </c>
      <c r="F27" s="100" t="s">
        <v>161</v>
      </c>
      <c r="G27" s="5"/>
      <c r="H27" s="5" t="s">
        <v>192</v>
      </c>
      <c r="I27" s="9"/>
      <c r="J27" s="1">
        <v>30</v>
      </c>
    </row>
    <row r="28" spans="4:10" x14ac:dyDescent="0.2">
      <c r="D28" s="2">
        <v>46056</v>
      </c>
      <c r="E28" s="94" t="s">
        <v>21</v>
      </c>
      <c r="F28" s="100" t="s">
        <v>250</v>
      </c>
      <c r="G28" s="6"/>
      <c r="H28" s="5" t="s">
        <v>192</v>
      </c>
      <c r="I28" s="9"/>
      <c r="J28" s="1">
        <v>30</v>
      </c>
    </row>
    <row r="29" spans="4:10" x14ac:dyDescent="0.2">
      <c r="D29" s="2">
        <v>46056</v>
      </c>
      <c r="E29" s="94" t="s">
        <v>212</v>
      </c>
      <c r="F29" s="100" t="s">
        <v>98</v>
      </c>
      <c r="G29" s="6"/>
      <c r="H29" s="5" t="s">
        <v>192</v>
      </c>
      <c r="I29" s="9"/>
      <c r="J29" s="1">
        <v>450</v>
      </c>
    </row>
    <row r="30" spans="4:10" x14ac:dyDescent="0.2">
      <c r="D30" s="2">
        <v>46056</v>
      </c>
      <c r="E30" s="94" t="s">
        <v>119</v>
      </c>
      <c r="F30" s="100" t="s">
        <v>119</v>
      </c>
      <c r="G30" s="6"/>
      <c r="H30" s="5" t="s">
        <v>192</v>
      </c>
      <c r="I30" s="9"/>
      <c r="J30" s="1">
        <v>1100</v>
      </c>
    </row>
    <row r="31" spans="4:10" x14ac:dyDescent="0.2">
      <c r="D31" s="2">
        <v>46056</v>
      </c>
      <c r="E31" s="94" t="s">
        <v>213</v>
      </c>
      <c r="F31" s="100" t="s">
        <v>222</v>
      </c>
      <c r="G31" s="4" t="s">
        <v>214</v>
      </c>
      <c r="H31" s="5" t="s">
        <v>192</v>
      </c>
      <c r="I31" s="9"/>
      <c r="J31" s="1">
        <v>500</v>
      </c>
    </row>
    <row r="32" spans="4:10" x14ac:dyDescent="0.2">
      <c r="D32" s="2">
        <v>46056</v>
      </c>
      <c r="E32" s="94" t="s">
        <v>215</v>
      </c>
      <c r="F32" s="100" t="s">
        <v>159</v>
      </c>
      <c r="G32" s="6"/>
      <c r="H32" s="5" t="s">
        <v>192</v>
      </c>
      <c r="I32" s="9"/>
      <c r="J32" s="1">
        <v>100</v>
      </c>
    </row>
    <row r="33" spans="4:10" x14ac:dyDescent="0.2">
      <c r="D33" s="2">
        <v>46057</v>
      </c>
      <c r="E33" s="94" t="s">
        <v>199</v>
      </c>
      <c r="F33" s="100" t="s">
        <v>41</v>
      </c>
      <c r="G33" s="5">
        <v>2</v>
      </c>
      <c r="H33" s="5" t="s">
        <v>192</v>
      </c>
      <c r="I33" s="96"/>
      <c r="J33" s="1">
        <v>129</v>
      </c>
    </row>
    <row r="34" spans="4:10" x14ac:dyDescent="0.2">
      <c r="D34" s="2">
        <v>46057</v>
      </c>
      <c r="E34" s="94" t="s">
        <v>42</v>
      </c>
      <c r="F34" s="100" t="s">
        <v>42</v>
      </c>
      <c r="G34" s="5"/>
      <c r="H34" s="5" t="s">
        <v>192</v>
      </c>
      <c r="I34" s="96"/>
      <c r="J34" s="1">
        <v>220</v>
      </c>
    </row>
    <row r="35" spans="4:10" x14ac:dyDescent="0.2">
      <c r="D35" s="2">
        <v>46057</v>
      </c>
      <c r="E35" s="94" t="s">
        <v>216</v>
      </c>
      <c r="F35" s="100" t="s">
        <v>160</v>
      </c>
      <c r="G35" s="5" t="s">
        <v>192</v>
      </c>
      <c r="H35" s="5" t="s">
        <v>192</v>
      </c>
      <c r="I35" s="96"/>
      <c r="J35" s="1">
        <v>912</v>
      </c>
    </row>
    <row r="36" spans="4:10" x14ac:dyDescent="0.2">
      <c r="D36" s="2">
        <v>46057</v>
      </c>
      <c r="E36" s="94" t="s">
        <v>217</v>
      </c>
      <c r="F36" s="100" t="s">
        <v>242</v>
      </c>
      <c r="G36" s="5" t="s">
        <v>92</v>
      </c>
      <c r="H36" s="5" t="s">
        <v>192</v>
      </c>
      <c r="I36" s="96"/>
      <c r="J36" s="94">
        <v>75.5</v>
      </c>
    </row>
    <row r="37" spans="4:10" x14ac:dyDescent="0.2">
      <c r="D37" s="2">
        <v>46057</v>
      </c>
      <c r="E37" s="94" t="s">
        <v>218</v>
      </c>
      <c r="F37" s="100" t="s">
        <v>161</v>
      </c>
      <c r="G37" s="5"/>
      <c r="H37" s="5" t="s">
        <v>192</v>
      </c>
      <c r="I37" s="96"/>
      <c r="J37" s="1">
        <v>60</v>
      </c>
    </row>
    <row r="38" spans="4:10" x14ac:dyDescent="0.2">
      <c r="D38" s="2">
        <v>46057</v>
      </c>
      <c r="E38" s="94" t="s">
        <v>126</v>
      </c>
      <c r="F38" s="100" t="s">
        <v>126</v>
      </c>
      <c r="G38" s="5"/>
      <c r="H38" s="5" t="s">
        <v>192</v>
      </c>
      <c r="I38" s="96"/>
      <c r="J38" s="1">
        <v>6</v>
      </c>
    </row>
    <row r="39" spans="4:10" x14ac:dyDescent="0.2">
      <c r="D39" s="2">
        <v>46057</v>
      </c>
      <c r="E39" s="100" t="s">
        <v>284</v>
      </c>
      <c r="F39" s="100" t="s">
        <v>249</v>
      </c>
      <c r="G39" s="5"/>
      <c r="H39" s="5" t="s">
        <v>192</v>
      </c>
      <c r="I39" s="96"/>
      <c r="J39" s="1">
        <v>500</v>
      </c>
    </row>
    <row r="40" spans="4:10" x14ac:dyDescent="0.2">
      <c r="D40" s="2">
        <v>46057</v>
      </c>
      <c r="E40" s="94" t="s">
        <v>219</v>
      </c>
      <c r="F40" s="100" t="s">
        <v>159</v>
      </c>
      <c r="G40" s="5"/>
      <c r="H40" s="5" t="s">
        <v>192</v>
      </c>
      <c r="I40" s="96"/>
      <c r="J40" s="1">
        <v>160</v>
      </c>
    </row>
    <row r="41" spans="4:10" x14ac:dyDescent="0.2">
      <c r="D41" s="2">
        <v>46058</v>
      </c>
      <c r="E41" s="145" t="s">
        <v>292</v>
      </c>
      <c r="F41" s="146" t="s">
        <v>291</v>
      </c>
      <c r="G41" s="6" t="s">
        <v>289</v>
      </c>
      <c r="H41" s="6" t="s">
        <v>192</v>
      </c>
      <c r="I41" s="9"/>
      <c r="J41" s="1">
        <v>3200</v>
      </c>
    </row>
    <row r="42" spans="4:10" x14ac:dyDescent="0.2">
      <c r="D42" s="2">
        <v>46058</v>
      </c>
      <c r="E42" s="94" t="s">
        <v>203</v>
      </c>
      <c r="F42" s="100" t="s">
        <v>41</v>
      </c>
      <c r="G42" s="5">
        <v>3</v>
      </c>
      <c r="H42" s="5" t="s">
        <v>192</v>
      </c>
      <c r="I42" s="96"/>
      <c r="J42" s="1">
        <v>193.5</v>
      </c>
    </row>
    <row r="43" spans="4:10" x14ac:dyDescent="0.2">
      <c r="D43" s="2">
        <v>46058</v>
      </c>
      <c r="E43" s="94" t="s">
        <v>21</v>
      </c>
      <c r="F43" s="100" t="s">
        <v>250</v>
      </c>
      <c r="G43" s="5"/>
      <c r="H43" s="5" t="s">
        <v>192</v>
      </c>
      <c r="I43" s="96"/>
      <c r="J43" s="1">
        <v>8</v>
      </c>
    </row>
    <row r="44" spans="4:10" x14ac:dyDescent="0.2">
      <c r="D44" s="2">
        <v>46058</v>
      </c>
      <c r="E44" s="94" t="s">
        <v>42</v>
      </c>
      <c r="F44" s="100" t="s">
        <v>42</v>
      </c>
      <c r="G44" s="5" t="s">
        <v>221</v>
      </c>
      <c r="H44" s="5" t="s">
        <v>192</v>
      </c>
      <c r="I44" s="96"/>
      <c r="J44" s="1">
        <v>366</v>
      </c>
    </row>
    <row r="45" spans="4:10" x14ac:dyDescent="0.2">
      <c r="D45" s="2">
        <v>46058</v>
      </c>
      <c r="E45" s="94" t="s">
        <v>161</v>
      </c>
      <c r="F45" s="100" t="s">
        <v>161</v>
      </c>
      <c r="G45" s="5"/>
      <c r="H45" s="5" t="s">
        <v>192</v>
      </c>
      <c r="I45" s="96"/>
      <c r="J45" s="1">
        <v>30</v>
      </c>
    </row>
    <row r="46" spans="4:10" x14ac:dyDescent="0.2">
      <c r="D46" s="2">
        <v>46058</v>
      </c>
      <c r="E46" s="94" t="s">
        <v>210</v>
      </c>
      <c r="F46" s="100" t="s">
        <v>9</v>
      </c>
      <c r="G46" s="5" t="s">
        <v>211</v>
      </c>
      <c r="H46" s="5" t="s">
        <v>192</v>
      </c>
      <c r="I46" s="96"/>
      <c r="J46" s="1">
        <v>105</v>
      </c>
    </row>
    <row r="47" spans="4:10" x14ac:dyDescent="0.2">
      <c r="D47" s="2">
        <v>46058</v>
      </c>
      <c r="E47" s="94" t="s">
        <v>220</v>
      </c>
      <c r="F47" s="100" t="s">
        <v>249</v>
      </c>
      <c r="G47" s="5"/>
      <c r="H47" s="5" t="s">
        <v>192</v>
      </c>
      <c r="I47" s="96"/>
      <c r="J47" s="1">
        <v>100</v>
      </c>
    </row>
    <row r="48" spans="4:10" x14ac:dyDescent="0.2">
      <c r="D48" s="2">
        <v>46059</v>
      </c>
      <c r="E48" s="98" t="s">
        <v>160</v>
      </c>
      <c r="F48" s="100" t="s">
        <v>160</v>
      </c>
      <c r="G48" s="5" t="s">
        <v>223</v>
      </c>
      <c r="H48" s="5" t="s">
        <v>192</v>
      </c>
      <c r="I48" s="96"/>
      <c r="J48" s="1">
        <v>570</v>
      </c>
    </row>
    <row r="49" spans="4:10" x14ac:dyDescent="0.2">
      <c r="D49" s="2">
        <v>46059</v>
      </c>
      <c r="E49" s="98" t="s">
        <v>41</v>
      </c>
      <c r="F49" s="100" t="s">
        <v>41</v>
      </c>
      <c r="G49" s="5">
        <v>2</v>
      </c>
      <c r="H49" s="5" t="s">
        <v>192</v>
      </c>
      <c r="I49" s="96"/>
      <c r="J49" s="1">
        <v>129</v>
      </c>
    </row>
    <row r="50" spans="4:10" x14ac:dyDescent="0.2">
      <c r="D50" s="2">
        <v>46059</v>
      </c>
      <c r="E50" s="98" t="s">
        <v>27</v>
      </c>
      <c r="F50" s="100" t="s">
        <v>40</v>
      </c>
      <c r="G50" s="5"/>
      <c r="H50" s="5" t="s">
        <v>192</v>
      </c>
      <c r="I50" s="96"/>
      <c r="J50" s="1">
        <v>60</v>
      </c>
    </row>
    <row r="51" spans="4:10" x14ac:dyDescent="0.2">
      <c r="D51" s="2">
        <v>46059</v>
      </c>
      <c r="E51" s="98" t="s">
        <v>21</v>
      </c>
      <c r="F51" s="100" t="s">
        <v>250</v>
      </c>
      <c r="G51" s="5"/>
      <c r="H51" s="5" t="s">
        <v>192</v>
      </c>
      <c r="I51" s="96"/>
      <c r="J51" s="1">
        <v>18</v>
      </c>
    </row>
    <row r="52" spans="4:10" x14ac:dyDescent="0.2">
      <c r="D52" s="2">
        <v>46059</v>
      </c>
      <c r="E52" s="98" t="s">
        <v>126</v>
      </c>
      <c r="F52" s="100" t="s">
        <v>126</v>
      </c>
      <c r="G52" s="5"/>
      <c r="H52" s="5" t="s">
        <v>192</v>
      </c>
      <c r="I52" s="96"/>
      <c r="J52" s="1">
        <v>20</v>
      </c>
    </row>
    <row r="53" spans="4:10" x14ac:dyDescent="0.2">
      <c r="D53" s="2">
        <v>46059</v>
      </c>
      <c r="E53" s="98" t="s">
        <v>42</v>
      </c>
      <c r="F53" s="100" t="s">
        <v>42</v>
      </c>
      <c r="G53" s="5"/>
      <c r="H53" s="5" t="s">
        <v>192</v>
      </c>
      <c r="I53" s="96"/>
      <c r="J53" s="1">
        <v>130</v>
      </c>
    </row>
    <row r="54" spans="4:10" x14ac:dyDescent="0.2">
      <c r="D54" s="2">
        <v>46060</v>
      </c>
      <c r="E54" s="98" t="s">
        <v>42</v>
      </c>
      <c r="F54" s="100" t="s">
        <v>42</v>
      </c>
      <c r="G54" s="5"/>
      <c r="H54" s="5" t="s">
        <v>192</v>
      </c>
      <c r="I54" s="96"/>
      <c r="J54" s="98">
        <v>176</v>
      </c>
    </row>
    <row r="55" spans="4:10" x14ac:dyDescent="0.2">
      <c r="D55" s="2">
        <v>46060</v>
      </c>
      <c r="E55" s="98" t="s">
        <v>161</v>
      </c>
      <c r="F55" s="100" t="s">
        <v>161</v>
      </c>
      <c r="G55" s="5"/>
      <c r="H55" s="5" t="s">
        <v>192</v>
      </c>
      <c r="I55" s="96"/>
      <c r="J55" s="1">
        <v>60</v>
      </c>
    </row>
    <row r="56" spans="4:10" x14ac:dyDescent="0.2">
      <c r="D56" s="2">
        <v>46060</v>
      </c>
      <c r="E56" s="98" t="s">
        <v>126</v>
      </c>
      <c r="F56" s="100" t="s">
        <v>126</v>
      </c>
      <c r="G56" s="5"/>
      <c r="H56" s="5" t="s">
        <v>192</v>
      </c>
      <c r="I56" s="96"/>
      <c r="J56" s="1">
        <v>95.5</v>
      </c>
    </row>
    <row r="57" spans="4:10" x14ac:dyDescent="0.2">
      <c r="D57" s="2">
        <v>46060</v>
      </c>
      <c r="E57" s="98" t="s">
        <v>21</v>
      </c>
      <c r="F57" s="100" t="s">
        <v>250</v>
      </c>
      <c r="G57" s="5"/>
      <c r="H57" s="5" t="s">
        <v>192</v>
      </c>
      <c r="I57" s="96"/>
      <c r="J57" s="1">
        <v>89.5</v>
      </c>
    </row>
    <row r="58" spans="4:10" x14ac:dyDescent="0.2">
      <c r="D58" s="2">
        <v>46060</v>
      </c>
      <c r="E58" s="98" t="s">
        <v>41</v>
      </c>
      <c r="F58" s="100" t="s">
        <v>41</v>
      </c>
      <c r="G58" s="5">
        <v>2</v>
      </c>
      <c r="H58" s="5" t="s">
        <v>192</v>
      </c>
      <c r="I58" s="96"/>
      <c r="J58" s="1">
        <v>129</v>
      </c>
    </row>
    <row r="59" spans="4:10" x14ac:dyDescent="0.2">
      <c r="D59" s="2">
        <v>46060</v>
      </c>
      <c r="E59" s="98" t="s">
        <v>210</v>
      </c>
      <c r="F59" s="100" t="s">
        <v>9</v>
      </c>
      <c r="G59" s="5" t="s">
        <v>211</v>
      </c>
      <c r="H59" s="5" t="s">
        <v>192</v>
      </c>
      <c r="I59" s="96"/>
      <c r="J59" s="1">
        <v>115</v>
      </c>
    </row>
    <row r="60" spans="4:10" x14ac:dyDescent="0.2">
      <c r="D60" s="2">
        <v>46061</v>
      </c>
      <c r="E60" s="145" t="s">
        <v>159</v>
      </c>
      <c r="F60" s="146" t="s">
        <v>295</v>
      </c>
      <c r="G60" s="6" t="s">
        <v>297</v>
      </c>
      <c r="H60" s="6" t="s">
        <v>192</v>
      </c>
      <c r="I60" s="9"/>
      <c r="J60" s="1">
        <v>6000</v>
      </c>
    </row>
    <row r="61" spans="4:10" x14ac:dyDescent="0.2">
      <c r="D61" s="2">
        <v>46061</v>
      </c>
      <c r="E61" s="145" t="s">
        <v>292</v>
      </c>
      <c r="F61" s="146" t="s">
        <v>291</v>
      </c>
      <c r="G61" s="6" t="s">
        <v>289</v>
      </c>
      <c r="H61" s="6" t="s">
        <v>192</v>
      </c>
      <c r="I61" s="9"/>
      <c r="J61" s="1">
        <v>5000</v>
      </c>
    </row>
    <row r="62" spans="4:10" x14ac:dyDescent="0.2">
      <c r="D62" s="2">
        <v>46061</v>
      </c>
      <c r="E62" s="98" t="s">
        <v>42</v>
      </c>
      <c r="F62" s="100" t="s">
        <v>42</v>
      </c>
      <c r="G62" s="5"/>
      <c r="H62" s="5" t="s">
        <v>192</v>
      </c>
      <c r="I62" s="96"/>
      <c r="J62" s="1">
        <v>222</v>
      </c>
    </row>
    <row r="63" spans="4:10" x14ac:dyDescent="0.2">
      <c r="D63" s="2">
        <v>46061</v>
      </c>
      <c r="E63" s="98" t="s">
        <v>160</v>
      </c>
      <c r="F63" s="100" t="s">
        <v>160</v>
      </c>
      <c r="G63" s="5" t="s">
        <v>224</v>
      </c>
      <c r="H63" s="5" t="s">
        <v>192</v>
      </c>
      <c r="I63" s="96"/>
      <c r="J63" s="1">
        <v>285</v>
      </c>
    </row>
    <row r="64" spans="4:10" x14ac:dyDescent="0.2">
      <c r="D64" s="2">
        <v>46061</v>
      </c>
      <c r="E64" s="98" t="s">
        <v>85</v>
      </c>
      <c r="F64" s="100" t="s">
        <v>242</v>
      </c>
      <c r="G64" s="5"/>
      <c r="H64" s="5" t="s">
        <v>192</v>
      </c>
      <c r="I64" s="96"/>
      <c r="J64" s="1">
        <v>35.5</v>
      </c>
    </row>
    <row r="65" spans="4:10" x14ac:dyDescent="0.2">
      <c r="D65" s="2">
        <v>46061</v>
      </c>
      <c r="E65" s="137" t="s">
        <v>81</v>
      </c>
      <c r="F65" s="112" t="s">
        <v>81</v>
      </c>
      <c r="G65" s="120" t="s">
        <v>13</v>
      </c>
      <c r="H65" s="120" t="s">
        <v>192</v>
      </c>
      <c r="I65" s="131"/>
      <c r="J65" s="127">
        <v>70</v>
      </c>
    </row>
    <row r="66" spans="4:10" x14ac:dyDescent="0.2">
      <c r="D66" s="2">
        <v>46061</v>
      </c>
      <c r="E66" s="98" t="s">
        <v>21</v>
      </c>
      <c r="F66" s="100" t="s">
        <v>250</v>
      </c>
      <c r="G66" s="5"/>
      <c r="H66" s="5" t="s">
        <v>192</v>
      </c>
      <c r="I66" s="96"/>
      <c r="J66" s="1">
        <v>48</v>
      </c>
    </row>
    <row r="67" spans="4:10" x14ac:dyDescent="0.2">
      <c r="D67" s="2">
        <v>46061</v>
      </c>
      <c r="E67" s="98" t="s">
        <v>126</v>
      </c>
      <c r="F67" s="100" t="s">
        <v>126</v>
      </c>
      <c r="G67" s="5"/>
      <c r="H67" s="5" t="s">
        <v>192</v>
      </c>
      <c r="I67" s="96"/>
      <c r="J67" s="1">
        <v>5</v>
      </c>
    </row>
    <row r="68" spans="4:10" x14ac:dyDescent="0.2">
      <c r="D68" s="2">
        <v>46061</v>
      </c>
      <c r="E68" s="98" t="s">
        <v>161</v>
      </c>
      <c r="F68" s="100" t="s">
        <v>161</v>
      </c>
      <c r="G68" s="5"/>
      <c r="H68" s="5" t="s">
        <v>192</v>
      </c>
      <c r="I68" s="96"/>
      <c r="J68" s="1">
        <v>60</v>
      </c>
    </row>
    <row r="69" spans="4:10" x14ac:dyDescent="0.2">
      <c r="D69" s="2">
        <v>46061</v>
      </c>
      <c r="E69" s="98" t="s">
        <v>210</v>
      </c>
      <c r="F69" s="100" t="s">
        <v>9</v>
      </c>
      <c r="G69" s="5" t="s">
        <v>211</v>
      </c>
      <c r="H69" s="5" t="s">
        <v>192</v>
      </c>
      <c r="I69" s="96"/>
      <c r="J69" s="1">
        <v>145</v>
      </c>
    </row>
    <row r="70" spans="4:10" x14ac:dyDescent="0.2">
      <c r="D70" s="2">
        <v>46061</v>
      </c>
      <c r="E70" s="98" t="s">
        <v>152</v>
      </c>
      <c r="F70" s="100" t="s">
        <v>249</v>
      </c>
      <c r="G70" s="5"/>
      <c r="H70" s="5" t="s">
        <v>192</v>
      </c>
      <c r="I70" s="96"/>
      <c r="J70" s="1">
        <v>400</v>
      </c>
    </row>
    <row r="71" spans="4:10" x14ac:dyDescent="0.2">
      <c r="D71" s="2">
        <v>46061</v>
      </c>
      <c r="E71" s="165" t="s">
        <v>317</v>
      </c>
      <c r="F71" s="100" t="s">
        <v>90</v>
      </c>
      <c r="G71" s="6" t="s">
        <v>225</v>
      </c>
      <c r="H71" s="5" t="s">
        <v>192</v>
      </c>
      <c r="I71" s="9"/>
      <c r="J71" s="1">
        <v>12000</v>
      </c>
    </row>
    <row r="72" spans="4:10" x14ac:dyDescent="0.2">
      <c r="D72" s="2">
        <v>46061</v>
      </c>
      <c r="E72" s="98" t="s">
        <v>226</v>
      </c>
      <c r="F72" s="100" t="s">
        <v>159</v>
      </c>
      <c r="G72" s="6"/>
      <c r="H72" s="5" t="s">
        <v>192</v>
      </c>
      <c r="I72" s="9"/>
      <c r="J72" s="1">
        <v>480</v>
      </c>
    </row>
    <row r="73" spans="4:10" x14ac:dyDescent="0.2">
      <c r="D73" s="2">
        <v>46062</v>
      </c>
      <c r="E73" s="98" t="s">
        <v>227</v>
      </c>
      <c r="F73" s="100" t="s">
        <v>242</v>
      </c>
      <c r="G73" s="6" t="s">
        <v>92</v>
      </c>
      <c r="H73" s="5" t="s">
        <v>192</v>
      </c>
      <c r="I73" s="9"/>
      <c r="J73" s="1">
        <v>78.5</v>
      </c>
    </row>
    <row r="74" spans="4:10" x14ac:dyDescent="0.2">
      <c r="D74" s="2">
        <v>46062</v>
      </c>
      <c r="E74" s="98" t="s">
        <v>41</v>
      </c>
      <c r="F74" s="100" t="s">
        <v>41</v>
      </c>
      <c r="G74" s="6">
        <v>1</v>
      </c>
      <c r="H74" s="5" t="s">
        <v>192</v>
      </c>
      <c r="I74" s="9"/>
      <c r="J74" s="1">
        <v>64.5</v>
      </c>
    </row>
    <row r="75" spans="4:10" x14ac:dyDescent="0.2">
      <c r="D75" s="2">
        <v>46062</v>
      </c>
      <c r="E75" s="98" t="s">
        <v>228</v>
      </c>
      <c r="F75" s="100" t="s">
        <v>98</v>
      </c>
      <c r="G75" s="6" t="s">
        <v>229</v>
      </c>
      <c r="H75" s="5" t="s">
        <v>192</v>
      </c>
      <c r="I75" s="9"/>
      <c r="J75" s="1">
        <v>26</v>
      </c>
    </row>
    <row r="76" spans="4:10" x14ac:dyDescent="0.2">
      <c r="D76" s="2">
        <v>46062</v>
      </c>
      <c r="E76" s="98" t="s">
        <v>230</v>
      </c>
      <c r="F76" s="100" t="s">
        <v>42</v>
      </c>
      <c r="G76" s="6"/>
      <c r="H76" s="5" t="s">
        <v>192</v>
      </c>
      <c r="I76" s="9"/>
      <c r="J76" s="1">
        <v>44</v>
      </c>
    </row>
    <row r="77" spans="4:10" x14ac:dyDescent="0.2">
      <c r="D77" s="2">
        <v>46062</v>
      </c>
      <c r="E77" s="98" t="s">
        <v>42</v>
      </c>
      <c r="F77" s="100" t="s">
        <v>42</v>
      </c>
      <c r="G77" s="6" t="s">
        <v>185</v>
      </c>
      <c r="H77" s="5" t="s">
        <v>192</v>
      </c>
      <c r="I77" s="9"/>
      <c r="J77" s="1">
        <v>56</v>
      </c>
    </row>
    <row r="78" spans="4:10" x14ac:dyDescent="0.2">
      <c r="D78" s="2">
        <v>46062</v>
      </c>
      <c r="E78" s="98" t="s">
        <v>231</v>
      </c>
      <c r="F78" s="100" t="s">
        <v>242</v>
      </c>
      <c r="G78" s="6"/>
      <c r="H78" s="5" t="s">
        <v>192</v>
      </c>
      <c r="I78" s="9"/>
      <c r="J78" s="1">
        <v>45</v>
      </c>
    </row>
    <row r="79" spans="4:10" x14ac:dyDescent="0.2">
      <c r="D79" s="2">
        <v>46062</v>
      </c>
      <c r="E79" s="98" t="s">
        <v>126</v>
      </c>
      <c r="F79" s="100" t="s">
        <v>126</v>
      </c>
      <c r="G79" s="6"/>
      <c r="H79" s="5" t="s">
        <v>192</v>
      </c>
      <c r="I79" s="9"/>
      <c r="J79" s="1">
        <v>5.5</v>
      </c>
    </row>
    <row r="80" spans="4:10" x14ac:dyDescent="0.2">
      <c r="D80" s="2">
        <v>46062</v>
      </c>
      <c r="E80" s="98" t="s">
        <v>106</v>
      </c>
      <c r="F80" s="100" t="s">
        <v>106</v>
      </c>
      <c r="G80" s="6" t="s">
        <v>232</v>
      </c>
      <c r="H80" s="5" t="s">
        <v>192</v>
      </c>
      <c r="I80" s="9"/>
      <c r="J80" s="1">
        <v>400</v>
      </c>
    </row>
    <row r="81" spans="4:10" x14ac:dyDescent="0.2">
      <c r="D81" s="2">
        <v>46062</v>
      </c>
      <c r="E81" s="98" t="s">
        <v>233</v>
      </c>
      <c r="F81" s="100" t="s">
        <v>98</v>
      </c>
      <c r="G81" s="6" t="s">
        <v>234</v>
      </c>
      <c r="H81" s="5" t="s">
        <v>192</v>
      </c>
      <c r="I81" s="9"/>
      <c r="J81" s="1">
        <v>400</v>
      </c>
    </row>
    <row r="82" spans="4:10" x14ac:dyDescent="0.2">
      <c r="D82" s="2">
        <v>46062</v>
      </c>
      <c r="E82" s="98" t="s">
        <v>106</v>
      </c>
      <c r="F82" s="100" t="s">
        <v>106</v>
      </c>
      <c r="G82" s="6" t="s">
        <v>235</v>
      </c>
      <c r="H82" s="5" t="s">
        <v>192</v>
      </c>
      <c r="I82" s="9"/>
      <c r="J82" s="1">
        <v>250</v>
      </c>
    </row>
    <row r="83" spans="4:10" x14ac:dyDescent="0.2">
      <c r="D83" s="2">
        <v>46062</v>
      </c>
      <c r="E83" s="98" t="s">
        <v>21</v>
      </c>
      <c r="F83" s="100" t="s">
        <v>250</v>
      </c>
      <c r="G83" s="6"/>
      <c r="H83" s="5" t="s">
        <v>192</v>
      </c>
      <c r="I83" s="9"/>
      <c r="J83" s="1">
        <v>87.5</v>
      </c>
    </row>
    <row r="84" spans="4:10" x14ac:dyDescent="0.2">
      <c r="D84" s="2">
        <v>46062</v>
      </c>
      <c r="E84" s="98" t="s">
        <v>32</v>
      </c>
      <c r="F84" s="100" t="s">
        <v>16</v>
      </c>
      <c r="G84" s="6"/>
      <c r="H84" s="5" t="s">
        <v>192</v>
      </c>
      <c r="I84" s="9"/>
      <c r="J84" s="1">
        <v>200</v>
      </c>
    </row>
    <row r="85" spans="4:10" x14ac:dyDescent="0.2">
      <c r="D85" s="2">
        <v>46062</v>
      </c>
      <c r="E85" s="98" t="s">
        <v>71</v>
      </c>
      <c r="F85" s="100" t="s">
        <v>16</v>
      </c>
      <c r="G85" s="6" t="s">
        <v>236</v>
      </c>
      <c r="H85" s="5" t="s">
        <v>192</v>
      </c>
      <c r="I85" s="9"/>
      <c r="J85" s="1">
        <v>200</v>
      </c>
    </row>
    <row r="86" spans="4:10" x14ac:dyDescent="0.2">
      <c r="D86" s="2">
        <v>46062</v>
      </c>
      <c r="E86" s="98" t="s">
        <v>317</v>
      </c>
      <c r="F86" s="100" t="s">
        <v>90</v>
      </c>
      <c r="G86" s="6" t="s">
        <v>92</v>
      </c>
      <c r="H86" s="5" t="s">
        <v>192</v>
      </c>
      <c r="I86" s="9"/>
      <c r="J86" s="1">
        <v>7000</v>
      </c>
    </row>
    <row r="87" spans="4:10" x14ac:dyDescent="0.2">
      <c r="D87" s="2">
        <v>46062</v>
      </c>
      <c r="E87" s="98" t="s">
        <v>317</v>
      </c>
      <c r="F87" s="100" t="s">
        <v>90</v>
      </c>
      <c r="G87" s="6" t="s">
        <v>1</v>
      </c>
      <c r="H87" s="5" t="s">
        <v>192</v>
      </c>
      <c r="I87" s="9"/>
      <c r="J87" s="1">
        <v>6000</v>
      </c>
    </row>
    <row r="88" spans="4:10" x14ac:dyDescent="0.2">
      <c r="D88" s="2">
        <v>46062</v>
      </c>
      <c r="E88" s="98" t="s">
        <v>317</v>
      </c>
      <c r="F88" s="100" t="s">
        <v>90</v>
      </c>
      <c r="G88" s="6" t="s">
        <v>43</v>
      </c>
      <c r="H88" s="5" t="s">
        <v>192</v>
      </c>
      <c r="I88" s="9"/>
      <c r="J88" s="1">
        <v>5000</v>
      </c>
    </row>
    <row r="89" spans="4:10" x14ac:dyDescent="0.2">
      <c r="D89" s="2">
        <v>46063</v>
      </c>
      <c r="E89" s="145" t="s">
        <v>159</v>
      </c>
      <c r="F89" s="146" t="s">
        <v>295</v>
      </c>
      <c r="G89" s="6" t="s">
        <v>297</v>
      </c>
      <c r="H89" s="6" t="s">
        <v>192</v>
      </c>
      <c r="I89" s="9"/>
      <c r="J89" s="1">
        <v>5000</v>
      </c>
    </row>
    <row r="90" spans="4:10" x14ac:dyDescent="0.2">
      <c r="D90" s="2">
        <v>46063</v>
      </c>
      <c r="E90" s="98" t="s">
        <v>160</v>
      </c>
      <c r="F90" s="100" t="s">
        <v>160</v>
      </c>
      <c r="G90" s="6" t="s">
        <v>137</v>
      </c>
      <c r="H90" s="5" t="s">
        <v>192</v>
      </c>
      <c r="I90" s="9"/>
      <c r="J90" s="1">
        <v>380</v>
      </c>
    </row>
    <row r="91" spans="4:10" x14ac:dyDescent="0.2">
      <c r="D91" s="2">
        <v>46063</v>
      </c>
      <c r="E91" s="98" t="s">
        <v>42</v>
      </c>
      <c r="F91" s="100" t="s">
        <v>42</v>
      </c>
      <c r="G91" s="6"/>
      <c r="H91" s="5" t="s">
        <v>192</v>
      </c>
      <c r="I91" s="9"/>
      <c r="J91" s="1">
        <v>135</v>
      </c>
    </row>
    <row r="92" spans="4:10" x14ac:dyDescent="0.2">
      <c r="D92" s="2">
        <v>46063</v>
      </c>
      <c r="E92" s="98" t="s">
        <v>41</v>
      </c>
      <c r="F92" s="100" t="s">
        <v>41</v>
      </c>
      <c r="G92" s="6">
        <v>2</v>
      </c>
      <c r="H92" s="5" t="s">
        <v>192</v>
      </c>
      <c r="I92" s="9"/>
      <c r="J92" s="1">
        <v>129</v>
      </c>
    </row>
    <row r="93" spans="4:10" x14ac:dyDescent="0.2">
      <c r="D93" s="2">
        <v>46063</v>
      </c>
      <c r="E93" s="98" t="s">
        <v>21</v>
      </c>
      <c r="F93" s="100" t="s">
        <v>250</v>
      </c>
      <c r="G93" s="6"/>
      <c r="H93" s="5" t="s">
        <v>192</v>
      </c>
      <c r="I93" s="9"/>
      <c r="J93" s="1">
        <v>41</v>
      </c>
    </row>
    <row r="94" spans="4:10" x14ac:dyDescent="0.2">
      <c r="D94" s="2">
        <v>46063</v>
      </c>
      <c r="E94" s="98" t="s">
        <v>81</v>
      </c>
      <c r="F94" s="100" t="s">
        <v>81</v>
      </c>
      <c r="G94" s="6" t="s">
        <v>98</v>
      </c>
      <c r="H94" s="5" t="s">
        <v>192</v>
      </c>
      <c r="I94" s="9"/>
      <c r="J94" s="1">
        <v>200</v>
      </c>
    </row>
    <row r="95" spans="4:10" x14ac:dyDescent="0.2">
      <c r="D95" s="2">
        <v>46063</v>
      </c>
      <c r="E95" s="98" t="s">
        <v>228</v>
      </c>
      <c r="F95" s="100" t="s">
        <v>98</v>
      </c>
      <c r="G95" s="6" t="s">
        <v>98</v>
      </c>
      <c r="H95" s="5" t="s">
        <v>192</v>
      </c>
      <c r="I95" s="9"/>
      <c r="J95" s="1">
        <v>2165</v>
      </c>
    </row>
    <row r="96" spans="4:10" x14ac:dyDescent="0.2">
      <c r="D96" s="2">
        <v>46064</v>
      </c>
      <c r="E96" s="98" t="s">
        <v>42</v>
      </c>
      <c r="F96" s="100" t="s">
        <v>42</v>
      </c>
      <c r="G96" s="6"/>
      <c r="H96" s="5" t="s">
        <v>192</v>
      </c>
      <c r="I96" s="9"/>
      <c r="J96" s="1">
        <v>98</v>
      </c>
    </row>
    <row r="97" spans="4:10" x14ac:dyDescent="0.2">
      <c r="D97" s="2">
        <v>46064</v>
      </c>
      <c r="E97" s="98" t="s">
        <v>21</v>
      </c>
      <c r="F97" s="100" t="s">
        <v>250</v>
      </c>
      <c r="G97" s="6"/>
      <c r="H97" s="5" t="s">
        <v>192</v>
      </c>
      <c r="I97" s="9"/>
      <c r="J97" s="1">
        <v>44</v>
      </c>
    </row>
    <row r="98" spans="4:10" x14ac:dyDescent="0.2">
      <c r="D98" s="2">
        <v>46064</v>
      </c>
      <c r="E98" s="98" t="s">
        <v>126</v>
      </c>
      <c r="F98" s="100" t="s">
        <v>126</v>
      </c>
      <c r="G98" s="6"/>
      <c r="H98" s="5" t="s">
        <v>192</v>
      </c>
      <c r="I98" s="9"/>
      <c r="J98" s="1">
        <v>125</v>
      </c>
    </row>
    <row r="99" spans="4:10" x14ac:dyDescent="0.2">
      <c r="D99" s="2">
        <v>46064</v>
      </c>
      <c r="E99" s="98" t="s">
        <v>237</v>
      </c>
      <c r="F99" s="100" t="s">
        <v>242</v>
      </c>
      <c r="G99" s="6"/>
      <c r="H99" s="5" t="s">
        <v>192</v>
      </c>
      <c r="I99" s="9"/>
      <c r="J99" s="1">
        <v>95</v>
      </c>
    </row>
    <row r="100" spans="4:10" x14ac:dyDescent="0.2">
      <c r="D100" s="2">
        <v>46065</v>
      </c>
      <c r="E100" s="98" t="s">
        <v>160</v>
      </c>
      <c r="F100" s="100" t="s">
        <v>160</v>
      </c>
      <c r="G100" s="6" t="s">
        <v>223</v>
      </c>
      <c r="H100" s="5" t="s">
        <v>192</v>
      </c>
      <c r="I100" s="9"/>
      <c r="J100" s="1">
        <v>570</v>
      </c>
    </row>
    <row r="101" spans="4:10" x14ac:dyDescent="0.2">
      <c r="D101" s="2">
        <v>46065</v>
      </c>
      <c r="E101" s="98" t="s">
        <v>42</v>
      </c>
      <c r="F101" s="100" t="s">
        <v>42</v>
      </c>
      <c r="G101" s="6" t="s">
        <v>238</v>
      </c>
      <c r="H101" s="5" t="s">
        <v>192</v>
      </c>
      <c r="I101" s="9"/>
      <c r="J101" s="1">
        <v>48</v>
      </c>
    </row>
    <row r="102" spans="4:10" x14ac:dyDescent="0.2">
      <c r="D102" s="2">
        <v>46065</v>
      </c>
      <c r="E102" s="141" t="s">
        <v>288</v>
      </c>
      <c r="F102" s="100" t="s">
        <v>42</v>
      </c>
      <c r="G102" s="6"/>
      <c r="H102" s="5" t="s">
        <v>192</v>
      </c>
      <c r="I102" s="9"/>
      <c r="J102" s="1">
        <v>400</v>
      </c>
    </row>
    <row r="103" spans="4:10" x14ac:dyDescent="0.2">
      <c r="D103" s="2">
        <v>46065</v>
      </c>
      <c r="E103" s="98" t="s">
        <v>219</v>
      </c>
      <c r="F103" s="100" t="s">
        <v>159</v>
      </c>
      <c r="G103" s="6"/>
      <c r="H103" s="5" t="s">
        <v>192</v>
      </c>
      <c r="I103" s="9"/>
      <c r="J103" s="1">
        <v>160</v>
      </c>
    </row>
    <row r="104" spans="4:10" x14ac:dyDescent="0.2">
      <c r="D104" s="2">
        <v>46065</v>
      </c>
      <c r="E104" s="98" t="s">
        <v>41</v>
      </c>
      <c r="F104" s="100" t="s">
        <v>41</v>
      </c>
      <c r="G104" s="6">
        <v>1</v>
      </c>
      <c r="H104" s="5" t="s">
        <v>192</v>
      </c>
      <c r="I104" s="9"/>
      <c r="J104" s="1">
        <v>64.5</v>
      </c>
    </row>
    <row r="105" spans="4:10" x14ac:dyDescent="0.2">
      <c r="D105" s="2">
        <v>46065</v>
      </c>
      <c r="E105" s="98" t="s">
        <v>21</v>
      </c>
      <c r="F105" s="100" t="s">
        <v>250</v>
      </c>
      <c r="G105" s="6"/>
      <c r="H105" s="5" t="s">
        <v>192</v>
      </c>
      <c r="I105" s="9"/>
      <c r="J105" s="1">
        <v>22</v>
      </c>
    </row>
    <row r="106" spans="4:10" x14ac:dyDescent="0.2">
      <c r="D106" s="2">
        <v>46066</v>
      </c>
      <c r="E106" s="138" t="s">
        <v>40</v>
      </c>
      <c r="F106" s="138" t="s">
        <v>40</v>
      </c>
      <c r="G106" s="6"/>
      <c r="H106" s="6" t="s">
        <v>192</v>
      </c>
      <c r="I106" s="9"/>
      <c r="J106" s="1">
        <v>55</v>
      </c>
    </row>
    <row r="107" spans="4:10" x14ac:dyDescent="0.2">
      <c r="D107" s="2">
        <v>46066</v>
      </c>
      <c r="E107" s="138" t="s">
        <v>11</v>
      </c>
      <c r="F107" s="138" t="s">
        <v>81</v>
      </c>
      <c r="G107" s="6" t="s">
        <v>13</v>
      </c>
      <c r="H107" s="6" t="s">
        <v>192</v>
      </c>
      <c r="I107" s="9"/>
      <c r="J107" s="1">
        <v>80</v>
      </c>
    </row>
    <row r="108" spans="4:10" x14ac:dyDescent="0.2">
      <c r="D108" s="2">
        <v>46066</v>
      </c>
      <c r="E108" s="138" t="s">
        <v>42</v>
      </c>
      <c r="F108" s="138" t="s">
        <v>42</v>
      </c>
      <c r="G108" s="6"/>
      <c r="H108" s="6" t="s">
        <v>192</v>
      </c>
      <c r="I108" s="9"/>
      <c r="J108" s="1">
        <v>33</v>
      </c>
    </row>
    <row r="109" spans="4:10" x14ac:dyDescent="0.2">
      <c r="D109" s="2">
        <v>46067</v>
      </c>
      <c r="E109" s="138" t="s">
        <v>81</v>
      </c>
      <c r="F109" s="140" t="s">
        <v>81</v>
      </c>
      <c r="G109" s="6" t="s">
        <v>98</v>
      </c>
      <c r="H109" s="6" t="s">
        <v>192</v>
      </c>
      <c r="I109" s="9"/>
      <c r="J109" s="1">
        <v>500</v>
      </c>
    </row>
    <row r="110" spans="4:10" x14ac:dyDescent="0.2">
      <c r="D110" s="2">
        <v>46067</v>
      </c>
      <c r="E110" s="138" t="s">
        <v>42</v>
      </c>
      <c r="F110" s="140" t="s">
        <v>42</v>
      </c>
      <c r="G110" s="6"/>
      <c r="H110" s="6" t="s">
        <v>192</v>
      </c>
      <c r="I110" s="9"/>
      <c r="J110" s="1">
        <v>70</v>
      </c>
    </row>
    <row r="111" spans="4:10" x14ac:dyDescent="0.2">
      <c r="D111" s="2">
        <v>46067</v>
      </c>
      <c r="E111" s="138" t="s">
        <v>126</v>
      </c>
      <c r="F111" s="140" t="s">
        <v>126</v>
      </c>
      <c r="G111" s="6"/>
      <c r="H111" s="6" t="s">
        <v>192</v>
      </c>
      <c r="I111" s="9"/>
      <c r="J111" s="1">
        <v>40.5</v>
      </c>
    </row>
    <row r="112" spans="4:10" x14ac:dyDescent="0.2">
      <c r="D112" s="2">
        <v>46067</v>
      </c>
      <c r="E112" s="138" t="s">
        <v>21</v>
      </c>
      <c r="F112" s="140" t="s">
        <v>250</v>
      </c>
      <c r="G112" s="6"/>
      <c r="H112" s="6" t="s">
        <v>192</v>
      </c>
      <c r="I112" s="9"/>
      <c r="J112" s="1">
        <v>62</v>
      </c>
    </row>
    <row r="113" spans="4:10" x14ac:dyDescent="0.2">
      <c r="D113" s="2">
        <v>46068</v>
      </c>
      <c r="E113" s="145" t="s">
        <v>41</v>
      </c>
      <c r="F113" s="146" t="s">
        <v>41</v>
      </c>
      <c r="G113" s="6">
        <v>1</v>
      </c>
      <c r="H113" s="6" t="s">
        <v>192</v>
      </c>
      <c r="I113" s="9"/>
      <c r="J113" s="1">
        <v>64.5</v>
      </c>
    </row>
    <row r="114" spans="4:10" x14ac:dyDescent="0.2">
      <c r="D114" s="2">
        <v>46068</v>
      </c>
      <c r="E114" s="145" t="s">
        <v>228</v>
      </c>
      <c r="F114" s="146" t="s">
        <v>98</v>
      </c>
      <c r="G114" s="6" t="s">
        <v>298</v>
      </c>
      <c r="H114" s="6" t="s">
        <v>192</v>
      </c>
      <c r="I114" s="9"/>
      <c r="J114" s="1">
        <v>40</v>
      </c>
    </row>
    <row r="115" spans="4:10" x14ac:dyDescent="0.2">
      <c r="D115" s="2">
        <v>46068</v>
      </c>
      <c r="E115" s="145" t="s">
        <v>40</v>
      </c>
      <c r="F115" s="146" t="s">
        <v>40</v>
      </c>
      <c r="G115" s="6"/>
      <c r="H115" s="6" t="s">
        <v>192</v>
      </c>
      <c r="I115" s="9"/>
      <c r="J115" s="1">
        <v>24</v>
      </c>
    </row>
    <row r="116" spans="4:10" x14ac:dyDescent="0.2">
      <c r="D116" s="2">
        <v>46068</v>
      </c>
      <c r="E116" s="145" t="s">
        <v>126</v>
      </c>
      <c r="F116" s="146" t="s">
        <v>126</v>
      </c>
      <c r="G116" s="6"/>
      <c r="H116" s="6" t="s">
        <v>192</v>
      </c>
      <c r="I116" s="9"/>
      <c r="J116" s="1">
        <v>32</v>
      </c>
    </row>
    <row r="117" spans="4:10" x14ac:dyDescent="0.2">
      <c r="D117" s="2">
        <v>46068</v>
      </c>
      <c r="E117" s="145" t="s">
        <v>21</v>
      </c>
      <c r="F117" s="146" t="s">
        <v>250</v>
      </c>
      <c r="G117" s="6"/>
      <c r="H117" s="6" t="s">
        <v>192</v>
      </c>
      <c r="I117" s="9"/>
      <c r="J117" s="1">
        <v>31.5</v>
      </c>
    </row>
    <row r="118" spans="4:10" x14ac:dyDescent="0.2">
      <c r="D118" s="2">
        <v>46068</v>
      </c>
      <c r="E118" s="145" t="s">
        <v>42</v>
      </c>
      <c r="F118" s="146" t="s">
        <v>42</v>
      </c>
      <c r="G118" s="6"/>
      <c r="H118" s="6" t="s">
        <v>192</v>
      </c>
      <c r="I118" s="9"/>
      <c r="J118" s="1">
        <v>124</v>
      </c>
    </row>
    <row r="119" spans="4:10" x14ac:dyDescent="0.2">
      <c r="F119" s="139"/>
      <c r="G119" s="6"/>
      <c r="H119" s="6"/>
      <c r="I119" s="9"/>
    </row>
    <row r="120" spans="4:10" x14ac:dyDescent="0.2">
      <c r="F120" s="139"/>
      <c r="G120" s="6"/>
      <c r="H120" s="6"/>
      <c r="I120" s="9"/>
    </row>
    <row r="121" spans="4:10" x14ac:dyDescent="0.2">
      <c r="F121" s="139"/>
      <c r="G121" s="6"/>
      <c r="H121" s="6"/>
      <c r="I121" s="9"/>
    </row>
    <row r="122" spans="4:10" x14ac:dyDescent="0.2">
      <c r="F122" s="139"/>
      <c r="G122" s="6"/>
      <c r="H122" s="6"/>
      <c r="I122" s="9"/>
    </row>
    <row r="123" spans="4:10" x14ac:dyDescent="0.2">
      <c r="D123" s="7"/>
      <c r="E123" s="8"/>
      <c r="F123" s="8"/>
      <c r="G123" s="8"/>
      <c r="H123" s="8"/>
      <c r="I123" s="8">
        <f>SUBTOTAL(109,الجدول167891223324553819[ايداع])</f>
        <v>0</v>
      </c>
      <c r="J123" s="8">
        <f>SUBTOTAL(109,الجدول167891223324553819[صرف])</f>
        <v>70346</v>
      </c>
    </row>
  </sheetData>
  <mergeCells count="2">
    <mergeCell ref="D2:J2"/>
    <mergeCell ref="L3:M4"/>
  </mergeCells>
  <hyperlinks>
    <hyperlink ref="L3:M4" location="القائمه!A1" display="القائمه"/>
  </hyperlinks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6"/>
  <sheetViews>
    <sheetView rightToLeft="1" topLeftCell="D13" workbookViewId="0">
      <selection activeCell="L28" sqref="L28"/>
    </sheetView>
  </sheetViews>
  <sheetFormatPr defaultRowHeight="14.25" x14ac:dyDescent="0.2"/>
  <cols>
    <col min="1" max="1" width="3.625" style="1" hidden="1" customWidth="1"/>
    <col min="2" max="3" width="9.125" style="1" hidden="1" customWidth="1"/>
    <col min="4" max="4" width="10.25" style="2" bestFit="1" customWidth="1"/>
    <col min="5" max="5" width="10.25" style="2" customWidth="1"/>
    <col min="6" max="6" width="14.875" style="151" bestFit="1" customWidth="1"/>
    <col min="7" max="7" width="14.875" style="147" customWidth="1"/>
    <col min="8" max="8" width="9.625" style="147" bestFit="1" customWidth="1"/>
    <col min="9" max="9" width="13.125" style="147" bestFit="1" customWidth="1"/>
    <col min="10" max="11" width="9" style="147"/>
    <col min="12" max="16384" width="9" style="1"/>
  </cols>
  <sheetData>
    <row r="2" spans="4:12" ht="15.75" x14ac:dyDescent="0.25">
      <c r="D2" s="163" t="s">
        <v>0</v>
      </c>
      <c r="E2" s="163"/>
      <c r="F2" s="163"/>
      <c r="G2" s="163"/>
      <c r="H2" s="163"/>
    </row>
    <row r="3" spans="4:12" x14ac:dyDescent="0.2">
      <c r="D3" s="2" t="s">
        <v>2</v>
      </c>
      <c r="E3" s="148" t="s">
        <v>299</v>
      </c>
      <c r="F3" s="149" t="s">
        <v>300</v>
      </c>
      <c r="G3" s="150" t="s">
        <v>249</v>
      </c>
      <c r="H3" s="150" t="s">
        <v>301</v>
      </c>
      <c r="I3" s="150" t="s">
        <v>302</v>
      </c>
      <c r="J3" s="150" t="s">
        <v>303</v>
      </c>
      <c r="K3" s="164" t="s">
        <v>7</v>
      </c>
      <c r="L3" s="164"/>
    </row>
    <row r="4" spans="4:12" x14ac:dyDescent="0.2">
      <c r="K4" s="164"/>
      <c r="L4" s="164"/>
    </row>
    <row r="5" spans="4:12" ht="18" x14ac:dyDescent="0.25">
      <c r="D5" s="2">
        <v>46038</v>
      </c>
      <c r="E5" s="148" t="s">
        <v>304</v>
      </c>
      <c r="F5" s="149">
        <v>2</v>
      </c>
      <c r="G5" s="150">
        <v>300</v>
      </c>
      <c r="H5" s="150"/>
      <c r="I5" s="150">
        <v>15</v>
      </c>
      <c r="K5" s="144"/>
      <c r="L5" s="144"/>
    </row>
    <row r="6" spans="4:12" x14ac:dyDescent="0.2">
      <c r="D6" s="2">
        <v>46039</v>
      </c>
      <c r="E6" s="148" t="s">
        <v>305</v>
      </c>
      <c r="F6" s="149">
        <v>2</v>
      </c>
      <c r="G6" s="150">
        <v>300</v>
      </c>
      <c r="H6" s="150"/>
      <c r="I6" s="150">
        <v>15</v>
      </c>
      <c r="K6" s="1"/>
    </row>
    <row r="7" spans="4:12" x14ac:dyDescent="0.2">
      <c r="D7" s="2">
        <v>46040</v>
      </c>
      <c r="E7" s="148" t="s">
        <v>306</v>
      </c>
      <c r="F7" s="149">
        <v>3</v>
      </c>
      <c r="G7" s="150">
        <v>450</v>
      </c>
      <c r="H7" s="150"/>
      <c r="I7" s="152">
        <v>15</v>
      </c>
      <c r="J7" s="147">
        <v>22</v>
      </c>
      <c r="K7" s="1"/>
    </row>
    <row r="8" spans="4:12" x14ac:dyDescent="0.2">
      <c r="D8" s="2">
        <v>46041</v>
      </c>
      <c r="E8" s="148" t="s">
        <v>307</v>
      </c>
      <c r="F8" s="149">
        <v>4</v>
      </c>
      <c r="G8" s="150">
        <v>600</v>
      </c>
      <c r="H8" s="150"/>
      <c r="I8" s="152">
        <v>15</v>
      </c>
      <c r="J8" s="147">
        <v>21</v>
      </c>
      <c r="K8" s="1"/>
    </row>
    <row r="9" spans="4:12" x14ac:dyDescent="0.2">
      <c r="D9" s="2">
        <v>46042</v>
      </c>
      <c r="E9" s="148" t="s">
        <v>308</v>
      </c>
      <c r="F9" s="149">
        <v>2</v>
      </c>
      <c r="G9" s="150">
        <v>300</v>
      </c>
      <c r="H9" s="150"/>
      <c r="I9" s="152">
        <v>30</v>
      </c>
      <c r="J9" s="147">
        <v>20</v>
      </c>
      <c r="K9" s="1"/>
    </row>
    <row r="10" spans="4:12" x14ac:dyDescent="0.2">
      <c r="D10" s="2">
        <v>46043</v>
      </c>
      <c r="E10" s="148" t="s">
        <v>309</v>
      </c>
      <c r="F10" s="149">
        <v>2</v>
      </c>
      <c r="G10" s="150">
        <v>300</v>
      </c>
      <c r="H10" s="150"/>
      <c r="I10" s="152">
        <v>30</v>
      </c>
      <c r="J10" s="147">
        <v>20</v>
      </c>
      <c r="K10" s="1"/>
    </row>
    <row r="11" spans="4:12" x14ac:dyDescent="0.2">
      <c r="D11" s="2">
        <v>46044</v>
      </c>
      <c r="E11" s="148" t="s">
        <v>310</v>
      </c>
      <c r="F11" s="149">
        <v>2</v>
      </c>
      <c r="G11" s="150">
        <v>300</v>
      </c>
      <c r="H11" s="150"/>
      <c r="I11" s="152">
        <v>30</v>
      </c>
      <c r="J11" s="147">
        <v>10</v>
      </c>
      <c r="K11" s="1"/>
    </row>
    <row r="12" spans="4:12" x14ac:dyDescent="0.2">
      <c r="D12" s="2">
        <v>46045</v>
      </c>
      <c r="E12" s="148" t="s">
        <v>304</v>
      </c>
      <c r="F12" s="149">
        <v>2</v>
      </c>
      <c r="G12" s="150">
        <v>300</v>
      </c>
      <c r="H12" s="150"/>
      <c r="I12" s="152">
        <v>15</v>
      </c>
      <c r="J12" s="147">
        <v>8</v>
      </c>
      <c r="K12" s="1"/>
    </row>
    <row r="13" spans="4:12" x14ac:dyDescent="0.2">
      <c r="D13" s="2">
        <v>46046</v>
      </c>
      <c r="E13" s="148" t="s">
        <v>305</v>
      </c>
      <c r="F13" s="149">
        <v>2</v>
      </c>
      <c r="G13" s="150">
        <v>300</v>
      </c>
      <c r="H13" s="150"/>
      <c r="I13" s="152">
        <v>15</v>
      </c>
      <c r="J13" s="147">
        <v>15</v>
      </c>
      <c r="K13" s="1"/>
    </row>
    <row r="14" spans="4:12" x14ac:dyDescent="0.2">
      <c r="D14" s="2">
        <v>46047</v>
      </c>
      <c r="E14" s="148" t="s">
        <v>306</v>
      </c>
      <c r="F14" s="153" t="s">
        <v>311</v>
      </c>
      <c r="G14" s="154">
        <v>300</v>
      </c>
      <c r="H14" s="154">
        <v>40</v>
      </c>
      <c r="I14" s="152">
        <v>15</v>
      </c>
      <c r="K14" s="1"/>
    </row>
    <row r="15" spans="4:12" x14ac:dyDescent="0.2">
      <c r="D15" s="2">
        <v>46048</v>
      </c>
      <c r="E15" s="148" t="s">
        <v>307</v>
      </c>
      <c r="F15" s="153">
        <v>2</v>
      </c>
      <c r="G15" s="154">
        <v>300</v>
      </c>
      <c r="H15" s="154"/>
      <c r="I15" s="152">
        <v>25</v>
      </c>
      <c r="K15" s="1"/>
    </row>
    <row r="16" spans="4:12" x14ac:dyDescent="0.2">
      <c r="D16" s="2">
        <v>46049</v>
      </c>
      <c r="E16" s="148" t="s">
        <v>308</v>
      </c>
      <c r="F16" s="153" t="s">
        <v>311</v>
      </c>
      <c r="G16" s="154">
        <v>300</v>
      </c>
      <c r="H16" s="154">
        <v>40</v>
      </c>
      <c r="I16" s="152">
        <v>10</v>
      </c>
      <c r="J16" s="155"/>
      <c r="K16" s="1"/>
    </row>
    <row r="17" spans="4:11" x14ac:dyDescent="0.2">
      <c r="D17" s="2">
        <v>46050</v>
      </c>
      <c r="E17" s="148" t="s">
        <v>309</v>
      </c>
      <c r="F17" s="153">
        <v>0</v>
      </c>
      <c r="G17" s="156">
        <v>0</v>
      </c>
      <c r="H17" s="154"/>
      <c r="I17" s="152"/>
      <c r="J17" s="155"/>
      <c r="K17" s="1"/>
    </row>
    <row r="18" spans="4:11" x14ac:dyDescent="0.2">
      <c r="D18" s="2">
        <v>46051</v>
      </c>
      <c r="E18" s="148" t="s">
        <v>310</v>
      </c>
      <c r="F18" s="153">
        <v>0</v>
      </c>
      <c r="G18" s="156">
        <v>0</v>
      </c>
      <c r="H18" s="154"/>
      <c r="I18" s="152"/>
      <c r="J18" s="155"/>
      <c r="K18" s="1"/>
    </row>
    <row r="19" spans="4:11" x14ac:dyDescent="0.2">
      <c r="D19" s="2">
        <v>46052</v>
      </c>
      <c r="E19" s="148" t="s">
        <v>304</v>
      </c>
      <c r="F19" s="153">
        <v>0</v>
      </c>
      <c r="G19" s="154">
        <v>0</v>
      </c>
      <c r="H19" s="154"/>
      <c r="I19" s="152"/>
      <c r="J19" s="155"/>
      <c r="K19" s="1"/>
    </row>
    <row r="20" spans="4:11" x14ac:dyDescent="0.2">
      <c r="D20" s="2">
        <v>46053</v>
      </c>
      <c r="E20" s="148" t="s">
        <v>305</v>
      </c>
      <c r="F20" s="153">
        <v>1</v>
      </c>
      <c r="G20" s="154">
        <v>150</v>
      </c>
      <c r="H20" s="154"/>
      <c r="I20" s="152"/>
      <c r="J20" s="155"/>
      <c r="K20" s="1"/>
    </row>
    <row r="21" spans="4:11" x14ac:dyDescent="0.2">
      <c r="D21" s="2">
        <v>46054</v>
      </c>
      <c r="E21" s="148" t="s">
        <v>306</v>
      </c>
      <c r="F21" s="153">
        <v>3</v>
      </c>
      <c r="G21" s="154">
        <v>450</v>
      </c>
      <c r="H21" s="154"/>
      <c r="I21" s="152">
        <v>30</v>
      </c>
      <c r="J21" s="155"/>
      <c r="K21" s="1"/>
    </row>
    <row r="22" spans="4:11" x14ac:dyDescent="0.2">
      <c r="D22" s="2">
        <v>46055</v>
      </c>
      <c r="E22" s="148" t="s">
        <v>307</v>
      </c>
      <c r="F22" s="153">
        <v>6</v>
      </c>
      <c r="G22" s="154">
        <v>900</v>
      </c>
      <c r="H22" s="154"/>
      <c r="I22" s="152">
        <v>80</v>
      </c>
      <c r="J22" s="155"/>
      <c r="K22" s="1"/>
    </row>
    <row r="23" spans="4:11" x14ac:dyDescent="0.2">
      <c r="D23" s="2">
        <v>46056</v>
      </c>
      <c r="E23" s="148" t="s">
        <v>308</v>
      </c>
      <c r="F23" s="153">
        <v>6</v>
      </c>
      <c r="G23" s="154">
        <v>900</v>
      </c>
      <c r="H23" s="154"/>
      <c r="I23" s="152">
        <v>80</v>
      </c>
      <c r="K23" s="1"/>
    </row>
    <row r="24" spans="4:11" x14ac:dyDescent="0.2">
      <c r="D24" s="2">
        <v>46057</v>
      </c>
      <c r="E24" s="148" t="s">
        <v>309</v>
      </c>
      <c r="F24" s="153">
        <v>6</v>
      </c>
      <c r="G24" s="154">
        <v>900</v>
      </c>
      <c r="H24" s="154"/>
      <c r="I24" s="157"/>
      <c r="K24" s="1"/>
    </row>
    <row r="25" spans="4:11" x14ac:dyDescent="0.2">
      <c r="D25" s="2">
        <v>46058</v>
      </c>
      <c r="E25" s="148" t="s">
        <v>310</v>
      </c>
      <c r="F25" s="153">
        <v>6</v>
      </c>
      <c r="G25" s="154">
        <v>900</v>
      </c>
      <c r="H25" s="154"/>
      <c r="I25" s="157"/>
      <c r="K25" s="1"/>
    </row>
    <row r="26" spans="4:11" x14ac:dyDescent="0.2">
      <c r="D26" s="2">
        <v>46059</v>
      </c>
      <c r="E26" s="148" t="s">
        <v>304</v>
      </c>
      <c r="F26" s="153" t="s">
        <v>312</v>
      </c>
      <c r="G26" s="154">
        <v>450</v>
      </c>
      <c r="H26" s="154">
        <v>60</v>
      </c>
      <c r="I26" s="157"/>
      <c r="K26" s="1"/>
    </row>
    <row r="27" spans="4:11" x14ac:dyDescent="0.2">
      <c r="D27" s="2">
        <v>46060</v>
      </c>
      <c r="E27" s="148" t="s">
        <v>305</v>
      </c>
      <c r="F27" s="153" t="s">
        <v>311</v>
      </c>
      <c r="G27" s="154">
        <v>300</v>
      </c>
      <c r="H27" s="154">
        <v>40</v>
      </c>
      <c r="I27" s="157"/>
      <c r="K27" s="1"/>
    </row>
    <row r="28" spans="4:11" x14ac:dyDescent="0.2">
      <c r="D28" s="2">
        <v>46061</v>
      </c>
      <c r="E28" s="148" t="s">
        <v>306</v>
      </c>
      <c r="F28" s="153">
        <v>2</v>
      </c>
      <c r="G28" s="155">
        <v>300</v>
      </c>
      <c r="H28" s="155"/>
      <c r="I28" s="157"/>
      <c r="K28" s="1"/>
    </row>
    <row r="29" spans="4:11" x14ac:dyDescent="0.2">
      <c r="D29" s="2">
        <v>46062</v>
      </c>
      <c r="E29" s="148" t="s">
        <v>307</v>
      </c>
      <c r="F29" s="153">
        <v>2</v>
      </c>
      <c r="G29" s="155">
        <v>300</v>
      </c>
      <c r="H29" s="155"/>
      <c r="I29" s="157"/>
      <c r="K29" s="1"/>
    </row>
    <row r="30" spans="4:11" x14ac:dyDescent="0.2">
      <c r="D30" s="2">
        <v>46063</v>
      </c>
      <c r="E30" s="148" t="s">
        <v>308</v>
      </c>
      <c r="F30" s="153">
        <v>2</v>
      </c>
      <c r="G30" s="155">
        <v>300</v>
      </c>
      <c r="H30" s="155"/>
      <c r="I30" s="157"/>
      <c r="K30" s="1"/>
    </row>
    <row r="31" spans="4:11" x14ac:dyDescent="0.2">
      <c r="D31" s="2">
        <v>46064</v>
      </c>
      <c r="E31" s="148" t="s">
        <v>309</v>
      </c>
      <c r="F31" s="158">
        <v>2</v>
      </c>
      <c r="G31" s="155">
        <v>300</v>
      </c>
      <c r="H31" s="155"/>
      <c r="I31" s="157"/>
      <c r="K31" s="1"/>
    </row>
    <row r="32" spans="4:11" x14ac:dyDescent="0.2">
      <c r="D32" s="2">
        <v>46065</v>
      </c>
      <c r="E32" s="159" t="s">
        <v>310</v>
      </c>
      <c r="F32" s="158">
        <v>2</v>
      </c>
      <c r="G32" s="155">
        <v>300</v>
      </c>
      <c r="H32" s="155"/>
      <c r="I32" s="152"/>
      <c r="J32" s="155"/>
      <c r="K32" s="160"/>
    </row>
    <row r="33" spans="4:11" x14ac:dyDescent="0.2">
      <c r="D33" s="2">
        <v>46066</v>
      </c>
      <c r="E33" s="159" t="s">
        <v>304</v>
      </c>
      <c r="F33" s="158">
        <v>0</v>
      </c>
      <c r="G33" s="155">
        <v>0</v>
      </c>
      <c r="H33" s="155"/>
      <c r="I33" s="152"/>
      <c r="J33" s="155"/>
      <c r="K33" s="1"/>
    </row>
    <row r="34" spans="4:11" x14ac:dyDescent="0.2">
      <c r="D34" s="2">
        <v>46067</v>
      </c>
      <c r="E34" s="159" t="s">
        <v>305</v>
      </c>
      <c r="F34" s="158">
        <v>1</v>
      </c>
      <c r="G34" s="155">
        <v>150</v>
      </c>
      <c r="H34" s="155"/>
      <c r="I34" s="152"/>
      <c r="J34" s="155"/>
    </row>
    <row r="35" spans="4:11" x14ac:dyDescent="0.2">
      <c r="D35" s="2">
        <v>46068</v>
      </c>
      <c r="E35" s="159" t="s">
        <v>306</v>
      </c>
      <c r="F35" s="158">
        <v>2</v>
      </c>
      <c r="G35" s="155">
        <v>300</v>
      </c>
      <c r="H35" s="155"/>
      <c r="I35" s="152"/>
      <c r="J35" s="155"/>
    </row>
    <row r="36" spans="4:11" x14ac:dyDescent="0.2">
      <c r="D36" s="7"/>
      <c r="E36" s="7"/>
      <c r="F36" s="161"/>
      <c r="G36" s="162">
        <f>SUBTOTAL(109,الجدول1678912233245691120[اجرة])</f>
        <v>10950</v>
      </c>
      <c r="H36" s="162">
        <f>SUBTOTAL(109,الجدول1678912233245691120[بدل اضافي])</f>
        <v>180</v>
      </c>
      <c r="I36" s="162">
        <f>SUM(I4:I35)</f>
        <v>420</v>
      </c>
      <c r="J36" s="162">
        <f>SUM(J4:J35)</f>
        <v>116</v>
      </c>
      <c r="K36" s="147">
        <f>الجدول1678912233245691120[[#Totals],[افطار يوسف]]+الجدول1678912233245691120[[#Totals],[مواصلات يوسف]]+الجدول1678912233245691120[[#Totals],[بدل اضافي]]+الجدول1678912233245691120[[#Totals],[اجرة]]</f>
        <v>11666</v>
      </c>
    </row>
  </sheetData>
  <mergeCells count="2">
    <mergeCell ref="D2:H2"/>
    <mergeCell ref="K3:L4"/>
  </mergeCells>
  <hyperlinks>
    <hyperlink ref="K3:L4" location="القائمه!A1" display="القائمه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6"/>
  <sheetViews>
    <sheetView rightToLeft="1" topLeftCell="D15" workbookViewId="0">
      <selection activeCell="J40" sqref="J40"/>
    </sheetView>
  </sheetViews>
  <sheetFormatPr defaultRowHeight="14.25" x14ac:dyDescent="0.2"/>
  <cols>
    <col min="1" max="1" width="3.625" style="1" hidden="1" customWidth="1"/>
    <col min="2" max="3" width="9.125" style="1" hidden="1" customWidth="1"/>
    <col min="4" max="4" width="10.25" style="2" bestFit="1" customWidth="1"/>
    <col min="5" max="5" width="10.25" style="2" customWidth="1"/>
    <col min="6" max="6" width="11.25" style="151" customWidth="1"/>
    <col min="7" max="7" width="14" style="147" bestFit="1" customWidth="1"/>
    <col min="8" max="8" width="23.125" style="147" bestFit="1" customWidth="1"/>
    <col min="9" max="16384" width="9" style="1"/>
  </cols>
  <sheetData>
    <row r="2" spans="4:10" ht="15.75" x14ac:dyDescent="0.25">
      <c r="D2" s="163" t="s">
        <v>0</v>
      </c>
      <c r="E2" s="163"/>
      <c r="F2" s="163"/>
      <c r="G2" s="163"/>
      <c r="H2" s="163"/>
    </row>
    <row r="3" spans="4:10" x14ac:dyDescent="0.2">
      <c r="D3" s="2" t="s">
        <v>2</v>
      </c>
      <c r="E3" s="148" t="s">
        <v>299</v>
      </c>
      <c r="F3" s="149" t="s">
        <v>314</v>
      </c>
      <c r="G3" s="150" t="s">
        <v>313</v>
      </c>
      <c r="H3" s="150" t="s">
        <v>4</v>
      </c>
      <c r="I3" s="164" t="s">
        <v>7</v>
      </c>
      <c r="J3" s="164"/>
    </row>
    <row r="4" spans="4:10" x14ac:dyDescent="0.2">
      <c r="F4" s="147"/>
      <c r="I4" s="164"/>
      <c r="J4" s="164"/>
    </row>
    <row r="5" spans="4:10" ht="18" x14ac:dyDescent="0.25">
      <c r="D5" s="2">
        <v>46038</v>
      </c>
      <c r="E5" s="148" t="s">
        <v>304</v>
      </c>
      <c r="F5" s="150">
        <v>600</v>
      </c>
      <c r="G5" s="150"/>
      <c r="H5" s="150"/>
      <c r="I5" s="144"/>
      <c r="J5" s="144"/>
    </row>
    <row r="6" spans="4:10" x14ac:dyDescent="0.2">
      <c r="D6" s="2">
        <v>46039</v>
      </c>
      <c r="E6" s="148" t="s">
        <v>305</v>
      </c>
      <c r="F6" s="150">
        <v>600</v>
      </c>
      <c r="G6" s="150"/>
      <c r="H6" s="150"/>
    </row>
    <row r="7" spans="4:10" x14ac:dyDescent="0.2">
      <c r="D7" s="2">
        <v>46040</v>
      </c>
      <c r="E7" s="148" t="s">
        <v>306</v>
      </c>
      <c r="F7" s="150">
        <v>600</v>
      </c>
      <c r="G7" s="150"/>
      <c r="H7" s="150"/>
    </row>
    <row r="8" spans="4:10" x14ac:dyDescent="0.2">
      <c r="D8" s="2">
        <v>46041</v>
      </c>
      <c r="E8" s="148" t="s">
        <v>307</v>
      </c>
      <c r="F8" s="150">
        <v>600</v>
      </c>
      <c r="G8" s="150"/>
      <c r="H8" s="150"/>
    </row>
    <row r="9" spans="4:10" x14ac:dyDescent="0.2">
      <c r="D9" s="2">
        <v>46042</v>
      </c>
      <c r="E9" s="148" t="s">
        <v>308</v>
      </c>
      <c r="F9" s="150">
        <v>600</v>
      </c>
      <c r="G9" s="150"/>
      <c r="H9" s="150"/>
    </row>
    <row r="10" spans="4:10" x14ac:dyDescent="0.2">
      <c r="D10" s="2">
        <v>46043</v>
      </c>
      <c r="E10" s="148" t="s">
        <v>309</v>
      </c>
      <c r="F10" s="150">
        <v>600</v>
      </c>
      <c r="G10" s="150"/>
      <c r="H10" s="150"/>
    </row>
    <row r="11" spans="4:10" x14ac:dyDescent="0.2">
      <c r="D11" s="2">
        <v>46044</v>
      </c>
      <c r="E11" s="148" t="s">
        <v>310</v>
      </c>
      <c r="F11" s="150">
        <v>600</v>
      </c>
      <c r="G11" s="150"/>
      <c r="H11" s="150"/>
    </row>
    <row r="12" spans="4:10" x14ac:dyDescent="0.2">
      <c r="D12" s="2">
        <v>46045</v>
      </c>
      <c r="E12" s="148" t="s">
        <v>304</v>
      </c>
      <c r="F12" s="150">
        <v>600</v>
      </c>
      <c r="G12" s="150"/>
      <c r="H12" s="150"/>
    </row>
    <row r="13" spans="4:10" x14ac:dyDescent="0.2">
      <c r="D13" s="2">
        <v>46046</v>
      </c>
      <c r="E13" s="148" t="s">
        <v>305</v>
      </c>
      <c r="F13" s="150">
        <v>600</v>
      </c>
      <c r="G13" s="150"/>
      <c r="H13" s="150"/>
    </row>
    <row r="14" spans="4:10" x14ac:dyDescent="0.2">
      <c r="D14" s="2">
        <v>46047</v>
      </c>
      <c r="E14" s="148" t="s">
        <v>306</v>
      </c>
      <c r="F14" s="150">
        <v>600</v>
      </c>
      <c r="G14" s="150"/>
      <c r="H14" s="150"/>
    </row>
    <row r="15" spans="4:10" x14ac:dyDescent="0.2">
      <c r="D15" s="2">
        <v>46048</v>
      </c>
      <c r="E15" s="148" t="s">
        <v>307</v>
      </c>
      <c r="F15" s="150">
        <v>600</v>
      </c>
      <c r="G15" s="150"/>
      <c r="H15" s="150"/>
    </row>
    <row r="16" spans="4:10" x14ac:dyDescent="0.2">
      <c r="D16" s="2">
        <v>46049</v>
      </c>
      <c r="E16" s="148" t="s">
        <v>308</v>
      </c>
      <c r="F16" s="150">
        <v>600</v>
      </c>
      <c r="G16" s="150">
        <v>400</v>
      </c>
      <c r="H16" s="150" t="s">
        <v>16</v>
      </c>
    </row>
    <row r="17" spans="4:8" x14ac:dyDescent="0.2">
      <c r="D17" s="2">
        <v>46050</v>
      </c>
      <c r="E17" s="148" t="s">
        <v>309</v>
      </c>
      <c r="F17" s="150">
        <v>0</v>
      </c>
      <c r="G17" s="150"/>
      <c r="H17" s="150"/>
    </row>
    <row r="18" spans="4:8" x14ac:dyDescent="0.2">
      <c r="D18" s="2">
        <v>46051</v>
      </c>
      <c r="E18" s="148" t="s">
        <v>310</v>
      </c>
      <c r="F18" s="150">
        <v>600</v>
      </c>
      <c r="G18" s="150"/>
      <c r="H18" s="150"/>
    </row>
    <row r="19" spans="4:8" x14ac:dyDescent="0.2">
      <c r="D19" s="2">
        <v>46052</v>
      </c>
      <c r="E19" s="148" t="s">
        <v>304</v>
      </c>
      <c r="F19" s="150">
        <v>0</v>
      </c>
      <c r="G19" s="150"/>
      <c r="H19" s="150"/>
    </row>
    <row r="20" spans="4:8" x14ac:dyDescent="0.2">
      <c r="D20" s="2">
        <v>46053</v>
      </c>
      <c r="E20" s="148" t="s">
        <v>305</v>
      </c>
      <c r="F20" s="150">
        <v>600</v>
      </c>
      <c r="G20" s="150"/>
      <c r="H20" s="150"/>
    </row>
    <row r="21" spans="4:8" x14ac:dyDescent="0.2">
      <c r="D21" s="2">
        <v>46054</v>
      </c>
      <c r="E21" s="148" t="s">
        <v>306</v>
      </c>
      <c r="F21" s="150">
        <v>0</v>
      </c>
      <c r="G21" s="150"/>
      <c r="H21" s="150"/>
    </row>
    <row r="22" spans="4:8" x14ac:dyDescent="0.2">
      <c r="D22" s="2">
        <v>46055</v>
      </c>
      <c r="E22" s="148" t="s">
        <v>307</v>
      </c>
      <c r="F22" s="150">
        <v>600</v>
      </c>
      <c r="G22" s="150"/>
      <c r="H22" s="150"/>
    </row>
    <row r="23" spans="4:8" x14ac:dyDescent="0.2">
      <c r="D23" s="2">
        <v>46056</v>
      </c>
      <c r="E23" s="148" t="s">
        <v>308</v>
      </c>
      <c r="F23" s="150">
        <v>600</v>
      </c>
      <c r="G23" s="150"/>
      <c r="H23" s="150"/>
    </row>
    <row r="24" spans="4:8" x14ac:dyDescent="0.2">
      <c r="D24" s="2">
        <v>46057</v>
      </c>
      <c r="E24" s="148" t="s">
        <v>309</v>
      </c>
      <c r="F24" s="150">
        <v>600</v>
      </c>
      <c r="G24" s="150"/>
      <c r="H24" s="150"/>
    </row>
    <row r="25" spans="4:8" x14ac:dyDescent="0.2">
      <c r="D25" s="2">
        <v>46058</v>
      </c>
      <c r="E25" s="148" t="s">
        <v>310</v>
      </c>
      <c r="F25" s="150">
        <v>600</v>
      </c>
      <c r="G25" s="150"/>
      <c r="H25" s="150"/>
    </row>
    <row r="26" spans="4:8" x14ac:dyDescent="0.2">
      <c r="D26" s="2">
        <v>46059</v>
      </c>
      <c r="E26" s="148" t="s">
        <v>304</v>
      </c>
      <c r="F26" s="150">
        <v>600</v>
      </c>
      <c r="G26" s="150">
        <v>300</v>
      </c>
      <c r="H26" s="150" t="s">
        <v>16</v>
      </c>
    </row>
    <row r="27" spans="4:8" x14ac:dyDescent="0.2">
      <c r="D27" s="2">
        <v>46060</v>
      </c>
      <c r="E27" s="148" t="s">
        <v>305</v>
      </c>
      <c r="F27" s="150">
        <v>600</v>
      </c>
      <c r="G27" s="150"/>
      <c r="H27" s="150"/>
    </row>
    <row r="28" spans="4:8" x14ac:dyDescent="0.2">
      <c r="D28" s="2">
        <v>46061</v>
      </c>
      <c r="E28" s="148" t="s">
        <v>306</v>
      </c>
      <c r="F28" s="150">
        <v>600</v>
      </c>
      <c r="G28" s="150"/>
      <c r="H28" s="150"/>
    </row>
    <row r="29" spans="4:8" x14ac:dyDescent="0.2">
      <c r="D29" s="2">
        <v>46062</v>
      </c>
      <c r="E29" s="148" t="s">
        <v>307</v>
      </c>
      <c r="F29" s="150">
        <v>600</v>
      </c>
      <c r="G29" s="150"/>
      <c r="H29" s="150"/>
    </row>
    <row r="30" spans="4:8" x14ac:dyDescent="0.2">
      <c r="D30" s="2">
        <v>46063</v>
      </c>
      <c r="E30" s="148" t="s">
        <v>308</v>
      </c>
      <c r="F30" s="150">
        <v>600</v>
      </c>
      <c r="G30" s="150"/>
      <c r="H30" s="150"/>
    </row>
    <row r="31" spans="4:8" x14ac:dyDescent="0.2">
      <c r="D31" s="2">
        <v>46064</v>
      </c>
      <c r="E31" s="148" t="s">
        <v>309</v>
      </c>
      <c r="F31" s="150">
        <v>600</v>
      </c>
      <c r="G31" s="150"/>
      <c r="H31" s="150"/>
    </row>
    <row r="32" spans="4:8" x14ac:dyDescent="0.2">
      <c r="D32" s="2">
        <v>46065</v>
      </c>
      <c r="E32" s="159" t="s">
        <v>310</v>
      </c>
      <c r="F32" s="152">
        <v>600</v>
      </c>
      <c r="G32" s="152"/>
      <c r="H32" s="152"/>
    </row>
    <row r="33" spans="4:8" x14ac:dyDescent="0.2">
      <c r="D33" s="2">
        <v>46066</v>
      </c>
      <c r="E33" s="159" t="s">
        <v>304</v>
      </c>
      <c r="F33" s="152">
        <v>0</v>
      </c>
      <c r="G33" s="152"/>
      <c r="H33" s="152"/>
    </row>
    <row r="34" spans="4:8" x14ac:dyDescent="0.2">
      <c r="D34" s="2">
        <v>46067</v>
      </c>
      <c r="E34" s="159" t="s">
        <v>305</v>
      </c>
      <c r="F34" s="152">
        <v>600</v>
      </c>
      <c r="G34" s="152"/>
      <c r="H34" s="152"/>
    </row>
    <row r="35" spans="4:8" x14ac:dyDescent="0.2">
      <c r="D35" s="2">
        <v>46068</v>
      </c>
      <c r="E35" s="159" t="s">
        <v>306</v>
      </c>
      <c r="F35" s="152">
        <v>600</v>
      </c>
      <c r="G35" s="152"/>
      <c r="H35" s="152"/>
    </row>
    <row r="36" spans="4:8" x14ac:dyDescent="0.2">
      <c r="D36" s="7"/>
      <c r="E36" s="7"/>
      <c r="F36" s="161">
        <f>SUBTOTAL(109,الجدول167891223324569214[الاجرة])</f>
        <v>16200</v>
      </c>
      <c r="G36" s="162">
        <f>SUM(الجدول167891223324569214[فوركلفت و ركفري])</f>
        <v>700</v>
      </c>
      <c r="H36" s="162">
        <f>الجدول167891223324569214[[#Totals],[فوركلفت و ركفري]]+الجدول167891223324569214[[#Totals],[الاجرة]]</f>
        <v>16900</v>
      </c>
    </row>
  </sheetData>
  <mergeCells count="2">
    <mergeCell ref="D2:H2"/>
    <mergeCell ref="I3:J4"/>
  </mergeCells>
  <hyperlinks>
    <hyperlink ref="I3:J4" location="القائمه!A1" display="القائمه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شهر 11</vt:lpstr>
      <vt:lpstr>شهر 12</vt:lpstr>
      <vt:lpstr>شهر 1</vt:lpstr>
      <vt:lpstr>شهر 2</vt:lpstr>
      <vt:lpstr>يوسف</vt:lpstr>
      <vt:lpstr>اكرم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2025-11-12T20:32:53Z</dcterms:created>
  <dcterms:modified xsi:type="dcterms:W3CDTF">2026-02-15T20:41:33Z</dcterms:modified>
</cp:coreProperties>
</file>